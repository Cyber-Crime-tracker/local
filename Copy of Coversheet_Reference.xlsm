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1KTTMJF\Desktop\lip - Copy\"/>
    </mc:Choice>
  </mc:AlternateContent>
  <bookViews>
    <workbookView xWindow="0" yWindow="0" windowWidth="15360" windowHeight="7755" tabRatio="737" firstSheet="1" activeTab="1"/>
  </bookViews>
  <sheets>
    <sheet name="Summary" sheetId="39" r:id="rId1"/>
    <sheet name="Cover Sheet" sheetId="11" r:id="rId2"/>
    <sheet name="Sheet1" sheetId="40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_____QT1">#REF!</definedName>
    <definedName name="______QT2">#REF!</definedName>
    <definedName name="______QT3">#REF!</definedName>
    <definedName name="______QT4">#REF!</definedName>
    <definedName name="_____QT1">#REF!</definedName>
    <definedName name="_____QT2">#REF!</definedName>
    <definedName name="_____QT3">#REF!</definedName>
    <definedName name="_____QT4">#REF!</definedName>
    <definedName name="____QT1">#REF!</definedName>
    <definedName name="____QT2">#REF!</definedName>
    <definedName name="____QT3">#REF!</definedName>
    <definedName name="____QT4">#REF!</definedName>
    <definedName name="___QT1">#REF!</definedName>
    <definedName name="___QT2">#REF!</definedName>
    <definedName name="___QT3">#REF!</definedName>
    <definedName name="___QT4">#REF!</definedName>
    <definedName name="__QT1">#REF!</definedName>
    <definedName name="__QT2">#REF!</definedName>
    <definedName name="__QT3">#REF!</definedName>
    <definedName name="__QT4">#REF!</definedName>
    <definedName name="_5UC">#REF!</definedName>
    <definedName name="_QT1">#REF!</definedName>
    <definedName name="_QT2">#REF!</definedName>
    <definedName name="_QT3">#REF!</definedName>
    <definedName name="_QT4">#REF!</definedName>
    <definedName name="aaa" hidden="1">{#N/A,#N/A,FALSE,"Staffnos &amp; cost"}</definedName>
    <definedName name="AccessDatabase" hidden="1">"D:\Compensation\comp data 2001.xls"</definedName>
    <definedName name="Balance_Sheet">'[1]B''Sheet'!#REF!</definedName>
    <definedName name="BTNL__Depreciation">'[2]BTNL DEP'!#REF!</definedName>
    <definedName name="Cash_Flow">'[1]B''Sheet'!#REF!</definedName>
    <definedName name="conv">[3]conversion_rate!$C$4</definedName>
    <definedName name="cv">[4]MSU!$O$4</definedName>
    <definedName name="DataThere1">#REF!</definedName>
    <definedName name="DataThere2">#REF!</definedName>
    <definedName name="DataThere3">#REF!</definedName>
    <definedName name="DataThere4">#REF!</definedName>
    <definedName name="DataThere5">#REF!</definedName>
    <definedName name="de">[5]Assumptions!$C$9</definedName>
    <definedName name="DETAILS_UNDER_THE_HEAD_REPAIR___MAINTENANCE">#REF!</definedName>
    <definedName name="DOM">[6]Ref!$E$7</definedName>
    <definedName name="DTY">[7]Ref!$E$8</definedName>
    <definedName name="e" hidden="1">{#N/A,#N/A,FALSE,"Staffnos &amp; cost"}</definedName>
    <definedName name="Fbd_Pg1_Mar_02">#REF!</definedName>
    <definedName name="Fbd_Pg1_Rolling_12mths">#REF!</definedName>
    <definedName name="Fbd_Pg2_Mar_02">#REF!</definedName>
    <definedName name="Fbd_Pg2_Rolling_12mths">#REF!</definedName>
    <definedName name="Fbd_Pg3_Mar_02">#REF!</definedName>
    <definedName name="Fbd_Pg3_Rolling_12mths">#REF!</definedName>
    <definedName name="Fbd_Pg4_Mar_02">#REF!</definedName>
    <definedName name="Fbd_Pg4_Rolling_12mths">#REF!</definedName>
    <definedName name="Fbd_Pg5_Mar_02">#REF!</definedName>
    <definedName name="Fbd_Pg5_Rolling_12mths">#REF!</definedName>
    <definedName name="fee">[5]Assumptions!$C$11</definedName>
    <definedName name="Ggn_Pg2_Mar_02">[8]BLR!#REF!</definedName>
    <definedName name="Ggn_Pg2_Rolling_12mths">[8]BLR!#REF!</definedName>
    <definedName name="Ggn_Pg3_Mar_02">[8]BLR!#REF!</definedName>
    <definedName name="Ggn_Pg3_Rolling_12mths">[8]BLR!#REF!</definedName>
    <definedName name="Ggn_Pg4_Mar_02">[8]BLR!#REF!</definedName>
    <definedName name="Ggn_Pg4_Rolling_12mths">[8]BLR!#REF!</definedName>
    <definedName name="Ggn_Pg5_Mar_02">[8]BLR!#REF!</definedName>
    <definedName name="Ggn_Pg5_Rolling_12mths">[8]BLR!#REF!</definedName>
    <definedName name="intt">[5]Assumptions!$C$10</definedName>
    <definedName name="Mi">[1]Asmp!$D$234</definedName>
    <definedName name="mis">#REF!</definedName>
    <definedName name="ot">[9]Asmp!$D$234</definedName>
    <definedName name="PD_ID">#REF!</definedName>
    <definedName name="_xlnm.Print_Area" localSheetId="1">'Cover Sheet'!$B$1:$J$190</definedName>
    <definedName name="Prior1Qtr">#REF!</definedName>
    <definedName name="Prior2Qtr">#REF!</definedName>
    <definedName name="Prior3Qtr">#REF!</definedName>
    <definedName name="useNotes">#REF!</definedName>
    <definedName name="useText">#REF!</definedName>
    <definedName name="usrCat">#REF!</definedName>
    <definedName name="usrNext1Period">#REF!</definedName>
    <definedName name="usrNext1Qtr">#REF!</definedName>
    <definedName name="usrNext1Year">#REF!</definedName>
    <definedName name="usrNext2Period">#REF!</definedName>
    <definedName name="usrNext2Qtr">#REF!</definedName>
    <definedName name="usrNext2Year">#REF!</definedName>
    <definedName name="usrNext3Period">#REF!</definedName>
    <definedName name="usrNext3Qtr">#REF!</definedName>
    <definedName name="usrNext3Year">#REF!</definedName>
    <definedName name="usrNext4Period">#REF!</definedName>
    <definedName name="usrNext4Qtr">#REF!</definedName>
    <definedName name="usrNext4Year">#REF!</definedName>
    <definedName name="usrNext5Period">#REF!</definedName>
    <definedName name="usrNext5Year">#REF!</definedName>
    <definedName name="usrperiod">#REF!</definedName>
    <definedName name="usrPrior10Period">#REF!</definedName>
    <definedName name="usrPrior11Period">#REF!</definedName>
    <definedName name="usrPrior1Period">#REF!</definedName>
    <definedName name="usrPrior1Qtr">#REF!</definedName>
    <definedName name="usrPrior1Year">#REF!</definedName>
    <definedName name="usrPrior2Period">#REF!</definedName>
    <definedName name="usrPrior2Qtr">#REF!</definedName>
    <definedName name="usrPrior2Year">#REF!</definedName>
    <definedName name="usrPrior3Period">#REF!</definedName>
    <definedName name="usrPrior3Qtr">#REF!</definedName>
    <definedName name="usrPrior3Year">#REF!</definedName>
    <definedName name="usrPrior4Period">#REF!</definedName>
    <definedName name="usrPrior4Year">#REF!</definedName>
    <definedName name="usrPrior5Period">#REF!</definedName>
    <definedName name="usrPrior5Year">#REF!</definedName>
    <definedName name="usrPrior6Period">#REF!</definedName>
    <definedName name="usrPrior7Period">#REF!</definedName>
    <definedName name="usrPrior8Period">#REF!</definedName>
    <definedName name="usrPrior9Period">#REF!</definedName>
    <definedName name="usrQtr">#REF!</definedName>
    <definedName name="usrUnit">#REF!</definedName>
    <definedName name="usrUnitDesc">#REF!</definedName>
    <definedName name="UsrVin">#REF!</definedName>
    <definedName name="usrWholeYear">#REF!</definedName>
    <definedName name="usryear">#REF!</definedName>
    <definedName name="wrn.Staff._.cost1998." hidden="1">{#N/A,#N/A,TRUE,"Staffnos &amp; cost"}</definedName>
    <definedName name="wrn.Staffcost." hidden="1">{#N/A,#N/A,FALSE,"Staffnos &amp; cost"}</definedName>
    <definedName name="y">'[9]B''Sheet'!#REF!</definedName>
    <definedName name="z">'[9]B''Sheet'!#REF!</definedName>
  </definedNames>
  <calcPr calcId="162913"/>
</workbook>
</file>

<file path=xl/calcChain.xml><?xml version="1.0" encoding="utf-8"?>
<calcChain xmlns="http://schemas.openxmlformats.org/spreadsheetml/2006/main">
  <c r="H4" i="39" l="1"/>
  <c r="D4" i="39" l="1"/>
  <c r="C4" i="39" l="1"/>
  <c r="U4" i="39" l="1"/>
  <c r="AG4" i="39"/>
  <c r="AG5" i="39" s="1"/>
  <c r="U5" i="39" l="1"/>
  <c r="AC4" i="39" l="1"/>
  <c r="AC5" i="39" s="1"/>
  <c r="AA4" i="39"/>
  <c r="AE4" i="39" l="1"/>
  <c r="AE5" i="39" s="1"/>
  <c r="AB4" i="39"/>
  <c r="AA5" i="39"/>
  <c r="AB5" i="39" l="1"/>
  <c r="AI4" i="39"/>
  <c r="L4" i="39" l="1"/>
  <c r="K4" i="39" l="1"/>
  <c r="J4" i="39"/>
  <c r="L5" i="39"/>
  <c r="I4" i="39"/>
  <c r="P4" i="39"/>
  <c r="P5" i="39" s="1"/>
  <c r="AL4" i="39" l="1"/>
  <c r="AL5" i="39" s="1"/>
  <c r="Q4" i="39"/>
  <c r="AD4" i="39"/>
  <c r="AH4" i="39"/>
  <c r="AH5" i="39" s="1"/>
  <c r="Q5" i="39" l="1"/>
  <c r="AD5" i="39"/>
  <c r="AN4" i="39"/>
  <c r="AN5" i="39" s="1"/>
  <c r="AF4" i="39"/>
  <c r="AF5" i="39" l="1"/>
  <c r="AJ4" i="39"/>
  <c r="AJ5" i="39" s="1"/>
  <c r="N4" i="39"/>
  <c r="N5" i="39" s="1"/>
  <c r="O4" i="39"/>
  <c r="O5" i="39" l="1"/>
  <c r="R4" i="39"/>
  <c r="R5" i="39" s="1"/>
  <c r="AM4" i="39" l="1"/>
  <c r="AM5" i="39" s="1"/>
  <c r="T4" i="39" l="1"/>
  <c r="V4" i="39"/>
  <c r="V5" i="39" s="1"/>
  <c r="X4" i="39" l="1"/>
  <c r="X5" i="39" s="1"/>
  <c r="S4" i="39"/>
  <c r="S5" i="39" s="1"/>
  <c r="T5" i="39"/>
  <c r="AK4" i="39" l="1"/>
  <c r="AK5" i="39" s="1"/>
  <c r="W4" i="39" l="1"/>
  <c r="Y4" i="39"/>
  <c r="Y5" i="39" s="1"/>
  <c r="W5" i="39" l="1"/>
  <c r="Z4" i="39"/>
  <c r="AO4" i="39" l="1"/>
  <c r="Z5" i="39"/>
  <c r="AP4" i="39" l="1"/>
  <c r="AQ4" i="39" s="1"/>
  <c r="AO5" i="39"/>
  <c r="AP5" i="39" s="1"/>
  <c r="AQ5" i="39" s="1"/>
</calcChain>
</file>

<file path=xl/sharedStrings.xml><?xml version="1.0" encoding="utf-8"?>
<sst xmlns="http://schemas.openxmlformats.org/spreadsheetml/2006/main" count="427" uniqueCount="181">
  <si>
    <t>KK</t>
  </si>
  <si>
    <t>Bharti Airtel Limited</t>
  </si>
  <si>
    <t>CAPEX APPROVAL FORM (CAF)</t>
  </si>
  <si>
    <t xml:space="preserve">Current Capacity </t>
  </si>
  <si>
    <t>NE Name</t>
  </si>
  <si>
    <t>Primary Tags</t>
  </si>
  <si>
    <t>Primary</t>
  </si>
  <si>
    <t>Secondary</t>
  </si>
  <si>
    <t>Percent Utilized</t>
  </si>
  <si>
    <t>Utilised</t>
  </si>
  <si>
    <t>ODN Cost</t>
  </si>
  <si>
    <t>Exclusive Primary</t>
  </si>
  <si>
    <t>Exclusive Secondary</t>
  </si>
  <si>
    <t>Tech Remarks :</t>
  </si>
  <si>
    <t>Circle</t>
  </si>
  <si>
    <t>City</t>
  </si>
  <si>
    <t>Access Fiber Material Capex</t>
  </si>
  <si>
    <t>Access Fiber ROW Capex</t>
  </si>
  <si>
    <t>Access Fiber Service Capex</t>
  </si>
  <si>
    <t>CEN Cost</t>
  </si>
  <si>
    <t>Infra Cost</t>
  </si>
  <si>
    <t>Cost per HP</t>
  </si>
  <si>
    <t>RSU</t>
  </si>
  <si>
    <t>New</t>
  </si>
  <si>
    <t>Transport cost</t>
  </si>
  <si>
    <t>D-Tags</t>
  </si>
  <si>
    <t>Utilized</t>
  </si>
  <si>
    <t>% Utili</t>
  </si>
  <si>
    <t>Actual Hp's</t>
  </si>
  <si>
    <t>MRQ</t>
  </si>
  <si>
    <t>Proposed HPs</t>
  </si>
  <si>
    <t>Type (N/M)</t>
  </si>
  <si>
    <t>Tx Fiber Distance</t>
  </si>
  <si>
    <t>Tx Material</t>
  </si>
  <si>
    <t>Tx Row</t>
  </si>
  <si>
    <t>Tx Service</t>
  </si>
  <si>
    <t>Total Tx</t>
  </si>
  <si>
    <t>Total Access Fiber MTRS</t>
  </si>
  <si>
    <t>UG KM</t>
  </si>
  <si>
    <t>OH KM</t>
  </si>
  <si>
    <t>ROW KM</t>
  </si>
  <si>
    <t>Total ODN Tx Cost</t>
  </si>
  <si>
    <t xml:space="preserve">Poles Count </t>
  </si>
  <si>
    <t>EB Poles</t>
  </si>
  <si>
    <t>Own</t>
  </si>
  <si>
    <t>Poles cost</t>
  </si>
  <si>
    <t>OH accessories</t>
  </si>
  <si>
    <t>OH Materials</t>
  </si>
  <si>
    <t>OH Laying</t>
  </si>
  <si>
    <t>Own Pole Installation (One time)</t>
  </si>
  <si>
    <t>OH ROW @150 per pole (anually)</t>
  </si>
  <si>
    <t>Total OH Cost</t>
  </si>
  <si>
    <t>ISP Cost @ 50% HPs</t>
  </si>
  <si>
    <t>Total Cost- Last mile OH</t>
  </si>
  <si>
    <t>Cost Slab</t>
  </si>
  <si>
    <t>Marketing Remarks</t>
  </si>
  <si>
    <t>HR</t>
  </si>
  <si>
    <t>Required</t>
  </si>
  <si>
    <t>Commercial</t>
  </si>
  <si>
    <t>AIRTEL</t>
  </si>
  <si>
    <t>ODF/POLE/DP/ROAD/BUILDING NAME</t>
  </si>
  <si>
    <t>AIRTEL010101*New Pole DP At Cross Rd***0*16*Commercial</t>
  </si>
  <si>
    <t xml:space="preserve"> </t>
  </si>
  <si>
    <t>B2B</t>
  </si>
  <si>
    <t>Date</t>
  </si>
  <si>
    <t>Area Name/Building Name</t>
  </si>
  <si>
    <t>Area Type (Flatbed/Mix)</t>
  </si>
  <si>
    <t>Existing RSU Name in Area</t>
  </si>
  <si>
    <t>Tags/Home pass</t>
  </si>
  <si>
    <t>OLT (New/Existing)</t>
  </si>
  <si>
    <t>OSP KM</t>
  </si>
  <si>
    <t>Material Capex</t>
  </si>
  <si>
    <t>ROW Capex</t>
  </si>
  <si>
    <t>Service Capex</t>
  </si>
  <si>
    <t>Total Tx Cost</t>
  </si>
  <si>
    <t>Access Fiber KM</t>
  </si>
  <si>
    <t>Total ODN  Cost</t>
  </si>
  <si>
    <t>ODN Cost (Supply &amp; Service)</t>
  </si>
  <si>
    <t>ISP Cost</t>
  </si>
  <si>
    <t>Total Cost</t>
  </si>
  <si>
    <t>MRQ/New</t>
  </si>
  <si>
    <t>Bengaluru</t>
  </si>
  <si>
    <t>Oil Mill road (BL1384)</t>
  </si>
  <si>
    <t>Marquee FB</t>
  </si>
  <si>
    <t>0OM</t>
  </si>
  <si>
    <t>Dodda Banaswadi road-BLR278</t>
  </si>
  <si>
    <t>Existing</t>
  </si>
  <si>
    <t>2DY</t>
  </si>
  <si>
    <t>Spectra Raintree Lingarajapuram (BLR259)</t>
  </si>
  <si>
    <t>New FTTH Rollout</t>
  </si>
  <si>
    <t>2SR</t>
  </si>
  <si>
    <t>Vijinapura, Dooravani Nagar (BL2742)</t>
  </si>
  <si>
    <t>2VD</t>
  </si>
  <si>
    <t>Horamavu village (BL3501 )</t>
  </si>
  <si>
    <t>2HV</t>
  </si>
  <si>
    <t>Horamavu Banasawadi  (BL3531)</t>
  </si>
  <si>
    <t>2HB</t>
  </si>
  <si>
    <t>Vijayanapura , Kothur (BL8793)</t>
  </si>
  <si>
    <t>2VK</t>
  </si>
  <si>
    <t>Doorvani Nagar, Ramamurthy Nagar(BLR254)</t>
  </si>
  <si>
    <t>RMN</t>
  </si>
  <si>
    <t>Ramamurthy nagar</t>
  </si>
  <si>
    <t>Banasawadi Main Rd</t>
  </si>
  <si>
    <t>BMR</t>
  </si>
  <si>
    <t>Sovereign Unnathi</t>
  </si>
  <si>
    <t>SUA</t>
  </si>
  <si>
    <t>Brundhavan layout</t>
  </si>
  <si>
    <t>BVL</t>
  </si>
  <si>
    <t>Banasawadi Main Rd(BL1067)</t>
  </si>
  <si>
    <t>2BW</t>
  </si>
  <si>
    <t>Jalavaayu Vihar(BLR795)</t>
  </si>
  <si>
    <t>2JV</t>
  </si>
  <si>
    <t>KalyanNagar</t>
  </si>
  <si>
    <t>KLN</t>
  </si>
  <si>
    <t>Horamaavu</t>
  </si>
  <si>
    <t>HMV</t>
  </si>
  <si>
    <t>Neharu road</t>
  </si>
  <si>
    <t>NHR</t>
  </si>
  <si>
    <t>Kammanahalli Mn Rd (BLR770)</t>
  </si>
  <si>
    <t>KMN</t>
  </si>
  <si>
    <t>Kasturinagar</t>
  </si>
  <si>
    <t>KTN</t>
  </si>
  <si>
    <t>Ashwath Nagar HBR Layout(BL1244)</t>
  </si>
  <si>
    <t>Marquee</t>
  </si>
  <si>
    <t>2AN</t>
  </si>
  <si>
    <t>Chikkana Lyt Hennur Mn rd (BL1319) CWIP</t>
  </si>
  <si>
    <t>2CH</t>
  </si>
  <si>
    <t>kalyan Nagar (BL2231)</t>
  </si>
  <si>
    <t>2KN</t>
  </si>
  <si>
    <t>Chelekere Main RD</t>
  </si>
  <si>
    <t>CMR</t>
  </si>
  <si>
    <t>Hennur Mn rd</t>
  </si>
  <si>
    <t>HNR</t>
  </si>
  <si>
    <t>Nagavara Road</t>
  </si>
  <si>
    <t>NVR</t>
  </si>
  <si>
    <t>Jalavaayu Vihar</t>
  </si>
  <si>
    <t>JVV</t>
  </si>
  <si>
    <t>BSM Extension (BL8319)</t>
  </si>
  <si>
    <t>BSM</t>
  </si>
  <si>
    <t>KGR</t>
  </si>
  <si>
    <t>Kengeri Satellite  Main road (BL1805)</t>
  </si>
  <si>
    <t>KSM</t>
  </si>
  <si>
    <t>Kengeri Satellite Town (BL396)</t>
  </si>
  <si>
    <t>KST</t>
  </si>
  <si>
    <t>Govindarajnagar Nagarbhavi  9th Block (BL8129)</t>
  </si>
  <si>
    <t>0GN</t>
  </si>
  <si>
    <t>Nagarbhavi (BL1008)</t>
  </si>
  <si>
    <t>FTTH FB</t>
  </si>
  <si>
    <t>0NB</t>
  </si>
  <si>
    <t>Nagarabhavi Village</t>
  </si>
  <si>
    <t>0NV</t>
  </si>
  <si>
    <t>Salarpuria  Sattava Anugruha</t>
  </si>
  <si>
    <t>FTTH HR</t>
  </si>
  <si>
    <t>0SP</t>
  </si>
  <si>
    <t>BL1461_Amarajyothi nagar Mudalapalya</t>
  </si>
  <si>
    <t>AJM</t>
  </si>
  <si>
    <t>BLR397_Byraveshwaranagar Mudalapalya</t>
  </si>
  <si>
    <t>BYM</t>
  </si>
  <si>
    <t>BL1254_chalukya nagar Mudalapalya</t>
  </si>
  <si>
    <t>CNM</t>
  </si>
  <si>
    <t>BL1743_GKW Layout Mudalapalaya</t>
  </si>
  <si>
    <t>GKW</t>
  </si>
  <si>
    <t>BL1248_Saraswathi Nagar Mudalapalya</t>
  </si>
  <si>
    <t>MSN</t>
  </si>
  <si>
    <t>BLR811_Vinayaka layout Mudalapalya</t>
  </si>
  <si>
    <t>MVL</t>
  </si>
  <si>
    <t>BL1702_patteghar palya mudalapalya</t>
  </si>
  <si>
    <t>PGM</t>
  </si>
  <si>
    <t>BL2958_Shakthi Garden Mudalapalya</t>
  </si>
  <si>
    <t>SGM</t>
  </si>
  <si>
    <t>BL7012_sanjivini nagar Mudalapalya</t>
  </si>
  <si>
    <t>SJM</t>
  </si>
  <si>
    <t>BLR163_SVG nagar Mudalapalya</t>
  </si>
  <si>
    <t>SVG</t>
  </si>
  <si>
    <t>BL1709_Srinivasnagar Mudalapalya</t>
  </si>
  <si>
    <t>MSV</t>
  </si>
  <si>
    <t>Kalkere main road</t>
  </si>
  <si>
    <t>TPR &amp; KKR</t>
  </si>
  <si>
    <t>Kalyannagar</t>
  </si>
  <si>
    <t>ENL</t>
  </si>
  <si>
    <t>OCL &amp; BCH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</si>
</sst>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000"/>
    <numFmt numFmtId="166" formatCode="000000"/>
    <numFmt numFmtId="167" formatCode="#,##0.0_);\(#,##0.0\)"/>
    <numFmt numFmtId="168" formatCode="0.0_)"/>
    <numFmt numFmtId="169" formatCode="#,##0_)&quot;days&quot;;\(#,##0\)&quot;days&quot;"/>
    <numFmt numFmtId="170" formatCode="#,##0;\(#,##0\)"/>
    <numFmt numFmtId="171" formatCode="_(&quot;$&quot;* #,##0_);_(&quot;$&quot;* \(#,##0\);_(&quot;$&quot;* &quot;-&quot;??_);_(@_)"/>
    <numFmt numFmtId="172" formatCode="_-* #,##0\ _F_-;\-* #,##0\ _F_-;_-* &quot;-&quot;\ _F_-;_-@_-"/>
    <numFmt numFmtId="173" formatCode="_-* #,##0.00\ _F_-;\-* #,##0.00\ _F_-;_-* &quot;-&quot;??\ _F_-;_-@_-"/>
    <numFmt numFmtId="174" formatCode="_([$€-2]* #,##0.00_);_([$€-2]* \(#,##0.00\);_([$€-2]* &quot;-&quot;??_)"/>
    <numFmt numFmtId="175" formatCode="&quot;$&quot;#,##0"/>
    <numFmt numFmtId="176" formatCode="_(&quot;$&quot;* #,##0.0_);_(&quot;$&quot;* \(#,##0.0\);_(&quot;$&quot;* &quot;-&quot;??_);_(@_)"/>
    <numFmt numFmtId="177" formatCode="&quot;$&quot;#,##0.;;\(&quot;$&quot;#,##0.\)"/>
    <numFmt numFmtId="178" formatCode="&quot;$&quot;#,##0_);&quot;$&quot;\(#,##0.\)"/>
    <numFmt numFmtId="179" formatCode="&quot;$&quot;#,##0_);&quot;$&quot;\(#,##0\)"/>
    <numFmt numFmtId="180" formatCode="0.0"/>
    <numFmt numFmtId="181" formatCode="dd\.mmm"/>
    <numFmt numFmtId="182" formatCode="0.0%"/>
    <numFmt numFmtId="183" formatCode="_-* #,##0_-;\-* #,##0_-;_-* &quot;-&quot;_-;_-@_-"/>
    <numFmt numFmtId="184" formatCode="0.000000"/>
    <numFmt numFmtId="185" formatCode="#0.0\ &quot;%&quot;"/>
    <numFmt numFmtId="186" formatCode="&quot;$&quot;#,##0.00;[Red]\-&quot;$&quot;#,##0.00"/>
    <numFmt numFmtId="187" formatCode="#,##0\ &quot;DM&quot;;[Red]\-#,##0\ &quot;DM&quot;"/>
    <numFmt numFmtId="188" formatCode="#,##0.00\ &quot;DM&quot;;[Red]\-#,##0.00\ &quot;DM&quot;"/>
  </numFmts>
  <fonts count="5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11"/>
      <color indexed="8"/>
      <name val="Times New Roman"/>
      <family val="1"/>
    </font>
    <font>
      <sz val="1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10"/>
      <color indexed="8"/>
      <name val="MS Sans Serif"/>
      <family val="2"/>
    </font>
    <font>
      <sz val="8"/>
      <name val="Arial"/>
      <family val="2"/>
    </font>
    <font>
      <sz val="10"/>
      <name val="Helv"/>
      <charset val="204"/>
    </font>
    <font>
      <sz val="8"/>
      <name val="Antique Olive"/>
      <family val="2"/>
    </font>
    <font>
      <sz val="8"/>
      <name val="Geneva"/>
    </font>
    <font>
      <sz val="12"/>
      <name val="Tms Rmn"/>
    </font>
    <font>
      <sz val="10"/>
      <name val="MS Sans Serif"/>
      <family val="2"/>
    </font>
    <font>
      <sz val="10"/>
      <name val="Helv"/>
    </font>
    <font>
      <sz val="10"/>
      <name val="Geneva"/>
    </font>
    <font>
      <b/>
      <sz val="10"/>
      <color indexed="50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2"/>
      <name val="Helv"/>
    </font>
    <font>
      <sz val="7"/>
      <name val="Small Fonts"/>
      <family val="2"/>
    </font>
    <font>
      <i/>
      <sz val="9"/>
      <color indexed="12"/>
      <name val="Helv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b/>
      <sz val="10"/>
      <name val="MS Sans Serif"/>
      <family val="2"/>
    </font>
    <font>
      <b/>
      <sz val="8"/>
      <name val="Times New Roman"/>
      <family val="1"/>
    </font>
    <font>
      <sz val="10"/>
      <name val="Book Antiqua"/>
      <family val="1"/>
    </font>
    <font>
      <sz val="10"/>
      <name val="Comic Sans MS"/>
      <family val="4"/>
    </font>
    <font>
      <sz val="10"/>
      <name val="Helvetica-Narrow"/>
      <family val="2"/>
    </font>
    <font>
      <b/>
      <sz val="10"/>
      <name val="Helvetica-Narrow"/>
      <family val="2"/>
    </font>
    <font>
      <b/>
      <sz val="12"/>
      <name val="Helvetica-Narrow"/>
      <family val="2"/>
    </font>
    <font>
      <sz val="12"/>
      <name val="Helv"/>
    </font>
    <font>
      <sz val="11"/>
      <color theme="1"/>
      <name val="Calibri"/>
      <family val="2"/>
      <scheme val="minor"/>
    </font>
    <font>
      <b/>
      <sz val="10"/>
      <name val="Cambria"/>
      <family val="1"/>
      <scheme val="major"/>
    </font>
    <font>
      <b/>
      <sz val="11"/>
      <name val="Cambria"/>
      <family val="1"/>
      <scheme val="major"/>
    </font>
    <font>
      <b/>
      <i/>
      <sz val="14"/>
      <name val="Cambria"/>
      <family val="1"/>
      <scheme val="major"/>
    </font>
    <font>
      <b/>
      <sz val="12"/>
      <name val="Cambria"/>
      <family val="1"/>
      <scheme val="major"/>
    </font>
    <font>
      <b/>
      <sz val="16"/>
      <name val="Cambria"/>
      <family val="1"/>
      <scheme val="major"/>
    </font>
    <font>
      <b/>
      <sz val="14"/>
      <name val="Cambria"/>
      <family val="1"/>
      <scheme val="major"/>
    </font>
    <font>
      <b/>
      <sz val="13"/>
      <name val="Cambria"/>
      <family val="1"/>
      <scheme val="major"/>
    </font>
    <font>
      <b/>
      <sz val="18"/>
      <name val="Cambria"/>
      <family val="1"/>
      <scheme val="major"/>
    </font>
    <font>
      <b/>
      <sz val="9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 Light"/>
      <family val="2"/>
    </font>
    <font>
      <b/>
      <sz val="10"/>
      <color rgb="FF000000"/>
      <name val="Calibri Light"/>
      <family val="2"/>
    </font>
    <font>
      <sz val="11"/>
      <color rgb="FFFF0000"/>
      <name val="Calibri"/>
      <family val="2"/>
    </font>
    <font>
      <sz val="10"/>
      <color rgb="FFFF0000"/>
      <name val="Calibri Light"/>
      <family val="2"/>
    </font>
    <font>
      <b/>
      <sz val="10"/>
      <color rgb="FFFF0000"/>
      <name val="Calibri Light"/>
      <family val="2"/>
    </font>
  </fonts>
  <fills count="1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darkGray">
        <fgColor indexed="9"/>
        <bgColor indexed="14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mediumGray">
        <fgColor indexed="22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hair">
        <color indexed="27"/>
      </left>
      <right style="hair">
        <color indexed="27"/>
      </right>
      <top style="hair">
        <color indexed="27"/>
      </top>
      <bottom style="hair">
        <color indexed="27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36">
    <xf numFmtId="0" fontId="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1" fillId="0" borderId="0"/>
    <xf numFmtId="0" fontId="6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6" fillId="2" borderId="0"/>
    <xf numFmtId="0" fontId="6" fillId="0" borderId="0"/>
    <xf numFmtId="165" fontId="12" fillId="0" borderId="0">
      <alignment horizontal="left"/>
    </xf>
    <xf numFmtId="166" fontId="13" fillId="0" borderId="0">
      <alignment horizontal="left"/>
    </xf>
    <xf numFmtId="0" fontId="13" fillId="0" borderId="0" applyFont="0" applyFill="0" applyBorder="0" applyAlignment="0" applyProtection="0">
      <alignment horizontal="right"/>
    </xf>
    <xf numFmtId="0" fontId="14" fillId="0" borderId="0" applyNumberFormat="0" applyFill="0" applyBorder="0" applyAlignment="0" applyProtection="0"/>
    <xf numFmtId="0" fontId="15" fillId="0" borderId="1" applyBorder="0"/>
    <xf numFmtId="0" fontId="6" fillId="0" borderId="0" applyFill="0" applyBorder="0" applyAlignment="0"/>
    <xf numFmtId="167" fontId="16" fillId="0" borderId="0" applyFill="0" applyBorder="0" applyAlignment="0"/>
    <xf numFmtId="168" fontId="2" fillId="0" borderId="0" applyFill="0" applyBorder="0" applyAlignment="0"/>
    <xf numFmtId="0" fontId="6" fillId="0" borderId="0" applyFill="0" applyBorder="0" applyAlignment="0"/>
    <xf numFmtId="0" fontId="6" fillId="0" borderId="0" applyFill="0" applyBorder="0" applyAlignment="0"/>
    <xf numFmtId="44" fontId="16" fillId="0" borderId="0" applyFill="0" applyBorder="0" applyAlignment="0"/>
    <xf numFmtId="169" fontId="17" fillId="0" borderId="0" applyFill="0" applyBorder="0" applyAlignment="0"/>
    <xf numFmtId="167" fontId="16" fillId="0" borderId="0" applyFill="0" applyBorder="0" applyAlignment="0"/>
    <xf numFmtId="0" fontId="16" fillId="3" borderId="0" applyFont="0" applyBorder="0"/>
    <xf numFmtId="43" fontId="36" fillId="0" borderId="0" applyFont="0" applyFill="0" applyBorder="0" applyAlignment="0" applyProtection="0"/>
    <xf numFmtId="44" fontId="1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8" fillId="0" borderId="2" applyBorder="0"/>
    <xf numFmtId="167" fontId="16" fillId="0" borderId="0" applyFont="0" applyFill="0" applyBorder="0" applyAlignment="0" applyProtection="0"/>
    <xf numFmtId="170" fontId="19" fillId="0" borderId="0">
      <protection locked="0"/>
    </xf>
    <xf numFmtId="171" fontId="17" fillId="0" borderId="0">
      <protection locked="0"/>
    </xf>
    <xf numFmtId="14" fontId="20" fillId="0" borderId="0" applyFill="0" applyBorder="0" applyAlignment="0"/>
    <xf numFmtId="171" fontId="17" fillId="0" borderId="0">
      <protection locked="0"/>
    </xf>
    <xf numFmtId="172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164" fontId="17" fillId="0" borderId="3"/>
    <xf numFmtId="170" fontId="21" fillId="0" borderId="4"/>
    <xf numFmtId="44" fontId="16" fillId="0" borderId="0" applyFill="0" applyBorder="0" applyAlignment="0"/>
    <xf numFmtId="167" fontId="16" fillId="0" borderId="0" applyFill="0" applyBorder="0" applyAlignment="0"/>
    <xf numFmtId="44" fontId="16" fillId="0" borderId="0" applyFill="0" applyBorder="0" applyAlignment="0"/>
    <xf numFmtId="169" fontId="17" fillId="0" borderId="0" applyFill="0" applyBorder="0" applyAlignment="0"/>
    <xf numFmtId="167" fontId="16" fillId="0" borderId="0" applyFill="0" applyBorder="0" applyAlignment="0"/>
    <xf numFmtId="174" fontId="6" fillId="0" borderId="0" applyFont="0" applyFill="0" applyBorder="0" applyAlignment="0" applyProtection="0"/>
    <xf numFmtId="175" fontId="17" fillId="0" borderId="0">
      <protection locked="0"/>
    </xf>
    <xf numFmtId="38" fontId="8" fillId="4" borderId="0" applyNumberFormat="0" applyBorder="0" applyAlignment="0" applyProtection="0"/>
    <xf numFmtId="0" fontId="9" fillId="0" borderId="0">
      <alignment horizontal="left"/>
    </xf>
    <xf numFmtId="0" fontId="22" fillId="5" borderId="5"/>
    <xf numFmtId="0" fontId="22" fillId="0" borderId="0">
      <alignment horizontal="left"/>
    </xf>
    <xf numFmtId="0" fontId="7" fillId="0" borderId="6" applyNumberFormat="0" applyAlignment="0" applyProtection="0">
      <alignment horizontal="left" vertical="center"/>
    </xf>
    <xf numFmtId="0" fontId="7" fillId="0" borderId="7">
      <alignment horizontal="left" vertical="center"/>
    </xf>
    <xf numFmtId="176" fontId="17" fillId="0" borderId="0">
      <protection locked="0"/>
    </xf>
    <xf numFmtId="176" fontId="17" fillId="0" borderId="0">
      <protection locked="0"/>
    </xf>
    <xf numFmtId="177" fontId="16" fillId="0" borderId="8" applyBorder="0">
      <protection locked="0"/>
    </xf>
    <xf numFmtId="10" fontId="8" fillId="6" borderId="2" applyNumberFormat="0" applyBorder="0" applyAlignment="0" applyProtection="0"/>
    <xf numFmtId="178" fontId="17" fillId="0" borderId="0" applyFont="0" applyFill="0" applyBorder="0" applyAlignment="0" applyProtection="0"/>
    <xf numFmtId="179" fontId="17" fillId="0" borderId="0" applyFont="0" applyFill="0" applyBorder="0" applyAlignment="0" applyProtection="0"/>
    <xf numFmtId="44" fontId="16" fillId="0" borderId="0" applyFill="0" applyBorder="0" applyAlignment="0"/>
    <xf numFmtId="167" fontId="16" fillId="0" borderId="0" applyFill="0" applyBorder="0" applyAlignment="0"/>
    <xf numFmtId="44" fontId="16" fillId="0" borderId="0" applyFill="0" applyBorder="0" applyAlignment="0"/>
    <xf numFmtId="169" fontId="17" fillId="0" borderId="0" applyFill="0" applyBorder="0" applyAlignment="0"/>
    <xf numFmtId="167" fontId="16" fillId="0" borderId="0" applyFill="0" applyBorder="0" applyAlignment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80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37" fontId="23" fillId="0" borderId="0"/>
    <xf numFmtId="0" fontId="6" fillId="0" borderId="0"/>
    <xf numFmtId="0" fontId="1" fillId="0" borderId="0"/>
    <xf numFmtId="0" fontId="1" fillId="0" borderId="0"/>
    <xf numFmtId="181" fontId="6" fillId="0" borderId="0"/>
    <xf numFmtId="0" fontId="6" fillId="0" borderId="0"/>
    <xf numFmtId="0" fontId="1" fillId="0" borderId="0"/>
    <xf numFmtId="0" fontId="1" fillId="0" borderId="0"/>
    <xf numFmtId="0" fontId="24" fillId="0" borderId="0" applyNumberFormat="0" applyAlignment="0">
      <alignment vertical="top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40" fontId="5" fillId="7" borderId="0">
      <alignment horizontal="right"/>
    </xf>
    <xf numFmtId="0" fontId="25" fillId="7" borderId="0">
      <alignment horizontal="right"/>
    </xf>
    <xf numFmtId="0" fontId="26" fillId="7" borderId="3"/>
    <xf numFmtId="0" fontId="26" fillId="0" borderId="0" applyBorder="0">
      <alignment horizontal="centerContinuous"/>
    </xf>
    <xf numFmtId="0" fontId="27" fillId="0" borderId="0" applyBorder="0">
      <alignment horizontal="centerContinuous"/>
    </xf>
    <xf numFmtId="9" fontId="36" fillId="0" borderId="0" applyFont="0" applyFill="0" applyBorder="0" applyAlignment="0" applyProtection="0"/>
    <xf numFmtId="182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17" fillId="0" borderId="0" applyFont="0" applyFill="0" applyBorder="0" applyAlignment="0" applyProtection="0"/>
    <xf numFmtId="10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16" fillId="0" borderId="0" applyFill="0" applyBorder="0" applyAlignment="0"/>
    <xf numFmtId="167" fontId="16" fillId="0" borderId="0" applyFill="0" applyBorder="0" applyAlignment="0"/>
    <xf numFmtId="44" fontId="16" fillId="0" borderId="0" applyFill="0" applyBorder="0" applyAlignment="0"/>
    <xf numFmtId="169" fontId="17" fillId="0" borderId="0" applyFill="0" applyBorder="0" applyAlignment="0"/>
    <xf numFmtId="167" fontId="16" fillId="0" borderId="0" applyFill="0" applyBorder="0" applyAlignment="0"/>
    <xf numFmtId="0" fontId="15" fillId="0" borderId="0" applyNumberFormat="0" applyFont="0" applyFill="0" applyBorder="0" applyAlignment="0" applyProtection="0">
      <alignment horizontal="left"/>
    </xf>
    <xf numFmtId="15" fontId="15" fillId="0" borderId="0" applyFont="0" applyFill="0" applyBorder="0" applyAlignment="0" applyProtection="0"/>
    <xf numFmtId="4" fontId="15" fillId="0" borderId="0" applyFont="0" applyFill="0" applyBorder="0" applyAlignment="0" applyProtection="0"/>
    <xf numFmtId="0" fontId="28" fillId="0" borderId="9">
      <alignment horizontal="center"/>
    </xf>
    <xf numFmtId="3" fontId="15" fillId="0" borderId="0" applyFont="0" applyFill="0" applyBorder="0" applyAlignment="0" applyProtection="0"/>
    <xf numFmtId="0" fontId="15" fillId="8" borderId="0" applyNumberFormat="0" applyFont="0" applyBorder="0" applyAlignment="0" applyProtection="0"/>
    <xf numFmtId="0" fontId="10" fillId="0" borderId="0">
      <alignment wrapText="1"/>
    </xf>
    <xf numFmtId="0" fontId="11" fillId="0" borderId="0"/>
    <xf numFmtId="0" fontId="29" fillId="0" borderId="0"/>
    <xf numFmtId="49" fontId="30" fillId="0" borderId="0">
      <alignment horizontal="left"/>
    </xf>
    <xf numFmtId="49" fontId="20" fillId="0" borderId="0" applyFill="0" applyBorder="0" applyAlignment="0"/>
    <xf numFmtId="0" fontId="6" fillId="0" borderId="0" applyFill="0" applyBorder="0" applyAlignment="0"/>
    <xf numFmtId="0" fontId="31" fillId="0" borderId="0" applyFill="0" applyBorder="0" applyAlignment="0"/>
    <xf numFmtId="0" fontId="32" fillId="0" borderId="0" applyNumberFormat="0" applyFill="0" applyBorder="0" applyProtection="0">
      <alignment vertical="top"/>
    </xf>
    <xf numFmtId="0" fontId="33" fillId="0" borderId="10" applyNumberFormat="0" applyFill="0" applyProtection="0">
      <alignment horizontal="center" vertical="top"/>
    </xf>
    <xf numFmtId="0" fontId="32" fillId="0" borderId="0" applyNumberFormat="0" applyFill="0" applyBorder="0" applyProtection="0">
      <alignment vertical="top" wrapText="1"/>
    </xf>
    <xf numFmtId="0" fontId="3" fillId="0" borderId="0"/>
    <xf numFmtId="0" fontId="34" fillId="0" borderId="0" applyNumberFormat="0" applyFill="0" applyBorder="0" applyProtection="0">
      <alignment horizontal="center" textRotation="90"/>
    </xf>
    <xf numFmtId="183" fontId="6" fillId="0" borderId="0" applyFont="0" applyFill="0" applyBorder="0" applyAlignment="0" applyProtection="0"/>
    <xf numFmtId="4" fontId="16" fillId="0" borderId="0" applyFont="0" applyFill="0" applyBorder="0" applyAlignment="0" applyProtection="0"/>
    <xf numFmtId="184" fontId="6" fillId="0" borderId="0" applyFont="0" applyFill="0" applyBorder="0" applyAlignment="0" applyProtection="0"/>
    <xf numFmtId="185" fontId="17" fillId="0" borderId="0" applyFont="0" applyFill="0" applyBorder="0" applyAlignment="0" applyProtection="0"/>
    <xf numFmtId="186" fontId="16" fillId="0" borderId="0" applyFont="0" applyFill="0" applyBorder="0" applyAlignment="0" applyProtection="0"/>
    <xf numFmtId="187" fontId="15" fillId="0" borderId="0" applyFont="0" applyFill="0" applyBorder="0" applyAlignment="0" applyProtection="0"/>
    <xf numFmtId="188" fontId="15" fillId="0" borderId="0" applyFont="0" applyFill="0" applyBorder="0" applyAlignment="0" applyProtection="0"/>
    <xf numFmtId="0" fontId="35" fillId="0" borderId="11"/>
    <xf numFmtId="0" fontId="6" fillId="0" borderId="0"/>
    <xf numFmtId="44" fontId="6" fillId="0" borderId="0" applyFont="0" applyFill="0" applyBorder="0" applyAlignment="0" applyProtection="0"/>
    <xf numFmtId="0" fontId="36" fillId="0" borderId="0"/>
    <xf numFmtId="0" fontId="4" fillId="0" borderId="0"/>
  </cellStyleXfs>
  <cellXfs count="122">
    <xf numFmtId="0" fontId="0" fillId="0" borderId="0" xfId="0"/>
    <xf numFmtId="0" fontId="42" fillId="0" borderId="21" xfId="81" applyFont="1" applyFill="1" applyBorder="1" applyAlignment="1" applyProtection="1">
      <alignment horizontal="left" vertical="center" wrapText="1"/>
      <protection locked="0"/>
    </xf>
    <xf numFmtId="0" fontId="42" fillId="0" borderId="2" xfId="80" applyFont="1" applyFill="1" applyBorder="1" applyAlignment="1" applyProtection="1">
      <alignment horizontal="center" vertical="center" wrapText="1"/>
    </xf>
    <xf numFmtId="0" fontId="42" fillId="0" borderId="2" xfId="81" applyFont="1" applyFill="1" applyBorder="1" applyAlignment="1" applyProtection="1">
      <alignment horizontal="center" vertical="center" wrapText="1"/>
    </xf>
    <xf numFmtId="0" fontId="42" fillId="0" borderId="16" xfId="80" applyFont="1" applyFill="1" applyBorder="1" applyAlignment="1" applyProtection="1">
      <alignment horizontal="center" vertical="center" wrapText="1"/>
    </xf>
    <xf numFmtId="0" fontId="45" fillId="12" borderId="2" xfId="0" applyFont="1" applyFill="1" applyBorder="1" applyAlignment="1">
      <alignment horizontal="center" vertical="center" wrapText="1"/>
    </xf>
    <xf numFmtId="0" fontId="45" fillId="9" borderId="2" xfId="0" applyFont="1" applyFill="1" applyBorder="1" applyAlignment="1">
      <alignment horizontal="center" vertical="center" wrapText="1"/>
    </xf>
    <xf numFmtId="0" fontId="45" fillId="13" borderId="2" xfId="0" applyFont="1" applyFill="1" applyBorder="1" applyAlignment="1">
      <alignment horizontal="center" vertical="center" wrapText="1"/>
    </xf>
    <xf numFmtId="0" fontId="47" fillId="12" borderId="2" xfId="0" applyFont="1" applyFill="1" applyBorder="1" applyAlignment="1">
      <alignment horizontal="center" vertical="center" wrapText="1"/>
    </xf>
    <xf numFmtId="164" fontId="46" fillId="10" borderId="17" xfId="36" applyNumberFormat="1" applyFont="1" applyFill="1" applyBorder="1" applyAlignment="1">
      <alignment horizontal="center" vertical="center"/>
    </xf>
    <xf numFmtId="14" fontId="47" fillId="9" borderId="2" xfId="0" applyNumberFormat="1" applyFont="1" applyFill="1" applyBorder="1" applyAlignment="1">
      <alignment horizontal="center" vertical="center" wrapText="1"/>
    </xf>
    <xf numFmtId="0" fontId="47" fillId="9" borderId="2" xfId="0" applyFont="1" applyFill="1" applyBorder="1" applyAlignment="1">
      <alignment horizontal="center" vertical="center" wrapText="1"/>
    </xf>
    <xf numFmtId="2" fontId="47" fillId="14" borderId="2" xfId="0" applyNumberFormat="1" applyFont="1" applyFill="1" applyBorder="1" applyAlignment="1">
      <alignment horizontal="center" vertical="center" wrapText="1"/>
    </xf>
    <xf numFmtId="2" fontId="47" fillId="12" borderId="2" xfId="0" applyNumberFormat="1" applyFont="1" applyFill="1" applyBorder="1" applyAlignment="1">
      <alignment horizontal="center" vertical="center" wrapText="1"/>
    </xf>
    <xf numFmtId="0" fontId="45" fillId="15" borderId="2" xfId="0" applyFont="1" applyFill="1" applyBorder="1" applyAlignment="1">
      <alignment horizontal="center" vertical="center" wrapText="1"/>
    </xf>
    <xf numFmtId="0" fontId="47" fillId="11" borderId="2" xfId="0" applyFont="1" applyFill="1" applyBorder="1" applyAlignment="1">
      <alignment horizontal="center" vertical="center" wrapText="1"/>
    </xf>
    <xf numFmtId="0" fontId="48" fillId="12" borderId="2" xfId="0" applyFont="1" applyFill="1" applyBorder="1" applyAlignment="1">
      <alignment horizontal="center" vertical="center" wrapText="1"/>
    </xf>
    <xf numFmtId="164" fontId="49" fillId="0" borderId="2" xfId="36" applyNumberFormat="1" applyFont="1" applyBorder="1"/>
    <xf numFmtId="164" fontId="49" fillId="0" borderId="2" xfId="36" applyNumberFormat="1" applyFont="1" applyBorder="1" applyAlignment="1">
      <alignment horizontal="left"/>
    </xf>
    <xf numFmtId="9" fontId="49" fillId="0" borderId="2" xfId="95" applyFont="1" applyBorder="1" applyAlignment="1">
      <alignment horizontal="center"/>
    </xf>
    <xf numFmtId="43" fontId="49" fillId="0" borderId="2" xfId="36" applyNumberFormat="1" applyFont="1" applyBorder="1" applyAlignment="1">
      <alignment horizontal="center" vertical="center"/>
    </xf>
    <xf numFmtId="43" fontId="49" fillId="0" borderId="2" xfId="36" applyNumberFormat="1" applyFont="1" applyBorder="1" applyAlignment="1">
      <alignment horizontal="center"/>
    </xf>
    <xf numFmtId="0" fontId="49" fillId="0" borderId="2" xfId="0" applyFont="1" applyFill="1" applyBorder="1" applyAlignment="1">
      <alignment horizontal="center"/>
    </xf>
    <xf numFmtId="0" fontId="42" fillId="0" borderId="22" xfId="80" applyFont="1" applyFill="1" applyBorder="1" applyAlignment="1" applyProtection="1">
      <alignment horizontal="center" vertical="center" wrapText="1"/>
    </xf>
    <xf numFmtId="0" fontId="42" fillId="0" borderId="12" xfId="81" applyFont="1" applyFill="1" applyBorder="1" applyAlignment="1" applyProtection="1">
      <alignment horizontal="left" vertical="center" wrapText="1"/>
      <protection locked="0"/>
    </xf>
    <xf numFmtId="0" fontId="42" fillId="0" borderId="13" xfId="80" applyFont="1" applyFill="1" applyBorder="1" applyAlignment="1" applyProtection="1">
      <alignment horizontal="center" vertical="center" wrapText="1"/>
    </xf>
    <xf numFmtId="0" fontId="42" fillId="0" borderId="13" xfId="81" applyFont="1" applyFill="1" applyBorder="1" applyAlignment="1" applyProtection="1">
      <alignment horizontal="center" vertical="center" wrapText="1"/>
    </xf>
    <xf numFmtId="0" fontId="42" fillId="0" borderId="14" xfId="80" applyFont="1" applyFill="1" applyBorder="1" applyAlignment="1" applyProtection="1">
      <alignment horizontal="center" vertical="center" wrapText="1"/>
    </xf>
    <xf numFmtId="0" fontId="42" fillId="0" borderId="15" xfId="80" applyFont="1" applyFill="1" applyBorder="1" applyAlignment="1" applyProtection="1">
      <alignment horizontal="center" vertical="center" wrapText="1"/>
      <protection locked="0"/>
    </xf>
    <xf numFmtId="0" fontId="42" fillId="0" borderId="20" xfId="80" applyFont="1" applyFill="1" applyBorder="1" applyAlignment="1" applyProtection="1">
      <alignment horizontal="center" vertical="center" wrapText="1"/>
      <protection locked="0"/>
    </xf>
    <xf numFmtId="0" fontId="42" fillId="0" borderId="23" xfId="100" applyNumberFormat="1" applyFont="1" applyFill="1" applyBorder="1" applyAlignment="1" applyProtection="1">
      <alignment horizontal="center" vertical="center" wrapText="1"/>
    </xf>
    <xf numFmtId="0" fontId="42" fillId="0" borderId="7" xfId="100" applyNumberFormat="1" applyFont="1" applyFill="1" applyBorder="1" applyAlignment="1" applyProtection="1">
      <alignment horizontal="center" vertical="center" wrapText="1"/>
    </xf>
    <xf numFmtId="0" fontId="42" fillId="0" borderId="29" xfId="100" applyNumberFormat="1" applyFont="1" applyFill="1" applyBorder="1" applyAlignment="1" applyProtection="1">
      <alignment horizontal="center" vertical="center" wrapText="1"/>
    </xf>
    <xf numFmtId="0" fontId="37" fillId="16" borderId="0" xfId="80" applyFont="1" applyFill="1" applyAlignment="1" applyProtection="1">
      <alignment vertical="center"/>
      <protection locked="0"/>
    </xf>
    <xf numFmtId="0" fontId="37" fillId="16" borderId="0" xfId="80" applyFont="1" applyFill="1" applyAlignment="1" applyProtection="1">
      <alignment horizontal="center" vertical="center"/>
      <protection locked="0"/>
    </xf>
    <xf numFmtId="0" fontId="37" fillId="16" borderId="0" xfId="81" applyFont="1" applyFill="1" applyAlignment="1" applyProtection="1">
      <alignment horizontal="center" vertical="center"/>
      <protection locked="0"/>
    </xf>
    <xf numFmtId="0" fontId="40" fillId="16" borderId="0" xfId="80" applyFont="1" applyFill="1" applyAlignment="1" applyProtection="1">
      <alignment vertical="center"/>
      <protection locked="0"/>
    </xf>
    <xf numFmtId="0" fontId="42" fillId="16" borderId="0" xfId="80" applyFont="1" applyFill="1" applyBorder="1" applyAlignment="1" applyProtection="1">
      <alignment horizontal="left" vertical="center" wrapText="1"/>
      <protection locked="0"/>
    </xf>
    <xf numFmtId="0" fontId="42" fillId="16" borderId="0" xfId="80" applyFont="1" applyFill="1" applyBorder="1" applyAlignment="1" applyProtection="1">
      <alignment horizontal="center" vertical="center"/>
      <protection locked="0"/>
    </xf>
    <xf numFmtId="43" fontId="42" fillId="16" borderId="0" xfId="80" applyNumberFormat="1" applyFont="1" applyFill="1" applyBorder="1" applyAlignment="1" applyProtection="1">
      <alignment horizontal="center" vertical="center"/>
      <protection locked="0"/>
    </xf>
    <xf numFmtId="0" fontId="42" fillId="16" borderId="0" xfId="80" applyFont="1" applyFill="1" applyBorder="1" applyAlignment="1" applyProtection="1">
      <alignment horizontal="center" vertical="center" wrapText="1"/>
      <protection locked="0"/>
    </xf>
    <xf numFmtId="164" fontId="43" fillId="16" borderId="0" xfId="38" applyNumberFormat="1" applyFont="1" applyFill="1" applyBorder="1" applyAlignment="1" applyProtection="1">
      <alignment horizontal="center" vertical="center"/>
    </xf>
    <xf numFmtId="1" fontId="43" fillId="16" borderId="0" xfId="38" applyNumberFormat="1" applyFont="1" applyFill="1" applyBorder="1" applyAlignment="1" applyProtection="1">
      <alignment horizontal="center" vertical="center"/>
    </xf>
    <xf numFmtId="0" fontId="38" fillId="16" borderId="0" xfId="38" applyNumberFormat="1" applyFont="1" applyFill="1" applyBorder="1" applyAlignment="1" applyProtection="1">
      <alignment horizontal="center" vertical="center"/>
    </xf>
    <xf numFmtId="0" fontId="43" fillId="16" borderId="0" xfId="38" applyNumberFormat="1" applyFont="1" applyFill="1" applyBorder="1" applyAlignment="1" applyProtection="1">
      <alignment horizontal="center" vertical="center"/>
    </xf>
    <xf numFmtId="164" fontId="38" fillId="16" borderId="0" xfId="38" applyNumberFormat="1" applyFont="1" applyFill="1" applyBorder="1" applyAlignment="1" applyProtection="1">
      <alignment vertical="center"/>
    </xf>
    <xf numFmtId="0" fontId="42" fillId="16" borderId="0" xfId="81" applyFont="1" applyFill="1" applyBorder="1" applyAlignment="1" applyProtection="1">
      <alignment vertical="center" wrapText="1"/>
      <protection locked="0"/>
    </xf>
    <xf numFmtId="164" fontId="43" fillId="16" borderId="0" xfId="39" applyNumberFormat="1" applyFont="1" applyFill="1" applyBorder="1" applyAlignment="1" applyProtection="1">
      <alignment horizontal="center" vertical="center"/>
    </xf>
    <xf numFmtId="164" fontId="42" fillId="16" borderId="0" xfId="39" applyNumberFormat="1" applyFont="1" applyFill="1" applyBorder="1" applyAlignment="1" applyProtection="1">
      <alignment horizontal="left" vertical="center"/>
      <protection locked="0"/>
    </xf>
    <xf numFmtId="1" fontId="43" fillId="16" borderId="0" xfId="39" applyNumberFormat="1" applyFont="1" applyFill="1" applyBorder="1" applyAlignment="1" applyProtection="1">
      <alignment horizontal="center" vertical="center"/>
    </xf>
    <xf numFmtId="164" fontId="42" fillId="16" borderId="0" xfId="39" applyNumberFormat="1" applyFont="1" applyFill="1" applyBorder="1" applyAlignment="1" applyProtection="1">
      <alignment vertical="center"/>
      <protection locked="0"/>
    </xf>
    <xf numFmtId="0" fontId="37" fillId="0" borderId="18" xfId="80" applyFont="1" applyFill="1" applyBorder="1" applyAlignment="1" applyProtection="1">
      <alignment vertical="center"/>
      <protection locked="0"/>
    </xf>
    <xf numFmtId="0" fontId="37" fillId="0" borderId="19" xfId="80" applyFont="1" applyFill="1" applyBorder="1" applyAlignment="1" applyProtection="1">
      <alignment vertical="center"/>
      <protection locked="0"/>
    </xf>
    <xf numFmtId="0" fontId="39" fillId="0" borderId="32" xfId="80" applyFont="1" applyFill="1" applyBorder="1" applyAlignment="1" applyProtection="1">
      <alignment horizontal="right" vertical="center"/>
      <protection locked="0"/>
    </xf>
    <xf numFmtId="0" fontId="37" fillId="0" borderId="26" xfId="80" applyFont="1" applyFill="1" applyBorder="1" applyAlignment="1" applyProtection="1">
      <alignment horizontal="center" vertical="center"/>
      <protection locked="0"/>
    </xf>
    <xf numFmtId="0" fontId="41" fillId="0" borderId="27" xfId="80" applyFont="1" applyFill="1" applyBorder="1" applyAlignment="1" applyProtection="1">
      <alignment horizontal="center" vertical="center"/>
      <protection locked="0"/>
    </xf>
    <xf numFmtId="0" fontId="37" fillId="0" borderId="0" xfId="80" applyFont="1" applyFill="1" applyAlignment="1" applyProtection="1">
      <alignment vertical="center"/>
      <protection locked="0"/>
    </xf>
    <xf numFmtId="0" fontId="42" fillId="0" borderId="21" xfId="81" applyFont="1" applyFill="1" applyBorder="1" applyAlignment="1" applyProtection="1">
      <alignment horizontal="center" vertical="center" wrapText="1"/>
      <protection locked="0"/>
    </xf>
    <xf numFmtId="0" fontId="45" fillId="17" borderId="37" xfId="0" applyFont="1" applyFill="1" applyBorder="1" applyAlignment="1">
      <alignment horizontal="center" vertical="center" wrapText="1"/>
    </xf>
    <xf numFmtId="0" fontId="45" fillId="17" borderId="32" xfId="0" applyFont="1" applyFill="1" applyBorder="1" applyAlignment="1">
      <alignment horizontal="center" vertical="center" wrapText="1"/>
    </xf>
    <xf numFmtId="0" fontId="45" fillId="17" borderId="32" xfId="0" applyFont="1" applyFill="1" applyBorder="1" applyAlignment="1">
      <alignment vertical="center" wrapText="1"/>
    </xf>
    <xf numFmtId="0" fontId="45" fillId="12" borderId="32" xfId="0" applyFont="1" applyFill="1" applyBorder="1" applyAlignment="1">
      <alignment horizontal="center" vertical="center" wrapText="1"/>
    </xf>
    <xf numFmtId="0" fontId="45" fillId="12" borderId="32" xfId="0" applyFont="1" applyFill="1" applyBorder="1" applyAlignment="1">
      <alignment vertical="center" wrapText="1"/>
    </xf>
    <xf numFmtId="0" fontId="45" fillId="9" borderId="32" xfId="0" applyFont="1" applyFill="1" applyBorder="1" applyAlignment="1">
      <alignment horizontal="center" vertical="center" wrapText="1"/>
    </xf>
    <xf numFmtId="0" fontId="45" fillId="13" borderId="32" xfId="0" applyFont="1" applyFill="1" applyBorder="1" applyAlignment="1">
      <alignment horizontal="center" vertical="center" wrapText="1"/>
    </xf>
    <xf numFmtId="0" fontId="50" fillId="0" borderId="38" xfId="0" applyFont="1" applyBorder="1" applyAlignment="1">
      <alignment horizontal="right" vertical="center"/>
    </xf>
    <xf numFmtId="0" fontId="50" fillId="0" borderId="25" xfId="0" applyFont="1" applyBorder="1" applyAlignment="1">
      <alignment horizontal="right" vertical="center"/>
    </xf>
    <xf numFmtId="15" fontId="51" fillId="0" borderId="25" xfId="0" applyNumberFormat="1" applyFont="1" applyBorder="1" applyAlignment="1">
      <alignment horizontal="center" vertical="center"/>
    </xf>
    <xf numFmtId="0" fontId="51" fillId="0" borderId="25" xfId="0" applyFont="1" applyBorder="1" applyAlignment="1">
      <alignment horizontal="center" vertical="center"/>
    </xf>
    <xf numFmtId="0" fontId="51" fillId="0" borderId="25" xfId="0" applyFont="1" applyBorder="1" applyAlignment="1">
      <alignment vertical="center"/>
    </xf>
    <xf numFmtId="0" fontId="52" fillId="0" borderId="25" xfId="0" applyFont="1" applyBorder="1" applyAlignment="1">
      <alignment horizontal="center" vertical="center"/>
    </xf>
    <xf numFmtId="0" fontId="50" fillId="0" borderId="25" xfId="0" applyFont="1" applyBorder="1" applyAlignment="1">
      <alignment vertical="center"/>
    </xf>
    <xf numFmtId="0" fontId="50" fillId="0" borderId="39" xfId="0" applyFont="1" applyBorder="1" applyAlignment="1">
      <alignment horizontal="right" vertical="center"/>
    </xf>
    <xf numFmtId="0" fontId="50" fillId="0" borderId="36" xfId="0" applyFont="1" applyBorder="1" applyAlignment="1">
      <alignment horizontal="right" vertical="center"/>
    </xf>
    <xf numFmtId="15" fontId="51" fillId="0" borderId="36" xfId="0" applyNumberFormat="1" applyFont="1" applyBorder="1" applyAlignment="1">
      <alignment horizontal="center" vertical="center"/>
    </xf>
    <xf numFmtId="0" fontId="51" fillId="0" borderId="36" xfId="0" applyFont="1" applyBorder="1" applyAlignment="1">
      <alignment horizontal="center" vertical="center"/>
    </xf>
    <xf numFmtId="0" fontId="51" fillId="0" borderId="36" xfId="0" applyFont="1" applyBorder="1" applyAlignment="1">
      <alignment vertical="center"/>
    </xf>
    <xf numFmtId="0" fontId="52" fillId="0" borderId="36" xfId="0" applyFont="1" applyBorder="1" applyAlignment="1">
      <alignment horizontal="center" vertical="center"/>
    </xf>
    <xf numFmtId="0" fontId="50" fillId="0" borderId="36" xfId="0" applyFont="1" applyBorder="1" applyAlignment="1">
      <alignment vertical="center"/>
    </xf>
    <xf numFmtId="0" fontId="53" fillId="0" borderId="39" xfId="0" applyFont="1" applyBorder="1" applyAlignment="1">
      <alignment horizontal="right" vertical="center"/>
    </xf>
    <xf numFmtId="0" fontId="53" fillId="0" borderId="36" xfId="0" applyFont="1" applyBorder="1" applyAlignment="1">
      <alignment horizontal="right" vertical="center"/>
    </xf>
    <xf numFmtId="15" fontId="54" fillId="0" borderId="36" xfId="0" applyNumberFormat="1" applyFont="1" applyBorder="1" applyAlignment="1">
      <alignment horizontal="center" vertical="center"/>
    </xf>
    <xf numFmtId="0" fontId="54" fillId="0" borderId="36" xfId="0" applyFont="1" applyBorder="1" applyAlignment="1">
      <alignment horizontal="center" vertical="center"/>
    </xf>
    <xf numFmtId="0" fontId="54" fillId="0" borderId="36" xfId="0" applyFont="1" applyBorder="1" applyAlignment="1">
      <alignment vertical="center"/>
    </xf>
    <xf numFmtId="0" fontId="55" fillId="0" borderId="36" xfId="0" applyFont="1" applyBorder="1" applyAlignment="1">
      <alignment horizontal="center" vertical="center"/>
    </xf>
    <xf numFmtId="0" fontId="53" fillId="0" borderId="36" xfId="0" applyFont="1" applyBorder="1" applyAlignment="1">
      <alignment vertical="center"/>
    </xf>
    <xf numFmtId="0" fontId="50" fillId="0" borderId="31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9" xfId="0" applyFont="1" applyBorder="1" applyAlignment="1">
      <alignment vertical="center"/>
    </xf>
    <xf numFmtId="0" fontId="0" fillId="0" borderId="0" xfId="0" applyAlignment="1">
      <alignment vertical="center"/>
    </xf>
    <xf numFmtId="0" fontId="52" fillId="18" borderId="36" xfId="0" applyFont="1" applyFill="1" applyBorder="1" applyAlignment="1">
      <alignment horizontal="center" vertical="center"/>
    </xf>
    <xf numFmtId="164" fontId="46" fillId="14" borderId="33" xfId="36" applyNumberFormat="1" applyFont="1" applyFill="1" applyBorder="1" applyAlignment="1">
      <alignment horizontal="center" vertical="center" wrapText="1"/>
    </xf>
    <xf numFmtId="164" fontId="46" fillId="14" borderId="34" xfId="36" applyNumberFormat="1" applyFont="1" applyFill="1" applyBorder="1" applyAlignment="1">
      <alignment horizontal="center" vertical="center" wrapText="1"/>
    </xf>
    <xf numFmtId="164" fontId="46" fillId="14" borderId="35" xfId="36" applyNumberFormat="1" applyFont="1" applyFill="1" applyBorder="1" applyAlignment="1">
      <alignment horizontal="center" vertical="center" wrapText="1"/>
    </xf>
    <xf numFmtId="164" fontId="38" fillId="16" borderId="0" xfId="39" applyNumberFormat="1" applyFont="1" applyFill="1" applyBorder="1" applyAlignment="1" applyProtection="1">
      <alignment horizontal="center" vertical="center"/>
      <protection locked="0"/>
    </xf>
    <xf numFmtId="164" fontId="42" fillId="16" borderId="0" xfId="38" applyNumberFormat="1" applyFont="1" applyFill="1" applyBorder="1" applyAlignment="1" applyProtection="1">
      <alignment horizontal="left" vertical="center"/>
    </xf>
    <xf numFmtId="0" fontId="44" fillId="16" borderId="0" xfId="80" applyFont="1" applyFill="1" applyBorder="1" applyAlignment="1" applyProtection="1">
      <alignment horizontal="left" vertical="center" wrapText="1"/>
      <protection locked="0"/>
    </xf>
    <xf numFmtId="0" fontId="42" fillId="16" borderId="0" xfId="80" quotePrefix="1" applyFont="1" applyFill="1" applyBorder="1" applyAlignment="1" applyProtection="1">
      <alignment horizontal="left" vertical="center" wrapText="1"/>
      <protection locked="0"/>
    </xf>
    <xf numFmtId="0" fontId="42" fillId="16" borderId="24" xfId="80" quotePrefix="1" applyFont="1" applyFill="1" applyBorder="1" applyAlignment="1" applyProtection="1">
      <alignment horizontal="left" vertical="center" wrapText="1"/>
      <protection locked="0"/>
    </xf>
    <xf numFmtId="0" fontId="42" fillId="16" borderId="6" xfId="80" quotePrefix="1" applyFont="1" applyFill="1" applyBorder="1" applyAlignment="1" applyProtection="1">
      <alignment horizontal="left" vertical="center" wrapText="1"/>
      <protection locked="0"/>
    </xf>
    <xf numFmtId="0" fontId="42" fillId="16" borderId="25" xfId="80" quotePrefix="1" applyFont="1" applyFill="1" applyBorder="1" applyAlignment="1" applyProtection="1">
      <alignment horizontal="left" vertical="center" wrapText="1"/>
      <protection locked="0"/>
    </xf>
    <xf numFmtId="0" fontId="42" fillId="0" borderId="23" xfId="100" applyNumberFormat="1" applyFont="1" applyFill="1" applyBorder="1" applyAlignment="1" applyProtection="1">
      <alignment horizontal="center" vertical="center" wrapText="1"/>
    </xf>
    <xf numFmtId="0" fontId="42" fillId="0" borderId="7" xfId="100" applyNumberFormat="1" applyFont="1" applyFill="1" applyBorder="1" applyAlignment="1" applyProtection="1">
      <alignment horizontal="center" vertical="center" wrapText="1"/>
    </xf>
    <xf numFmtId="0" fontId="42" fillId="0" borderId="29" xfId="100" applyNumberFormat="1" applyFont="1" applyFill="1" applyBorder="1" applyAlignment="1" applyProtection="1">
      <alignment horizontal="center" vertical="center" wrapText="1"/>
    </xf>
    <xf numFmtId="0" fontId="42" fillId="0" borderId="28" xfId="100" applyNumberFormat="1" applyFont="1" applyFill="1" applyBorder="1" applyAlignment="1" applyProtection="1">
      <alignment horizontal="center" vertical="center" wrapText="1"/>
    </xf>
    <xf numFmtId="0" fontId="42" fillId="0" borderId="6" xfId="100" applyNumberFormat="1" applyFont="1" applyFill="1" applyBorder="1" applyAlignment="1" applyProtection="1">
      <alignment horizontal="center" vertical="center" wrapText="1"/>
    </xf>
    <xf numFmtId="0" fontId="42" fillId="0" borderId="30" xfId="100" applyNumberFormat="1" applyFont="1" applyFill="1" applyBorder="1" applyAlignment="1" applyProtection="1">
      <alignment horizontal="center" vertical="center" wrapText="1"/>
    </xf>
    <xf numFmtId="0" fontId="41" fillId="0" borderId="26" xfId="80" applyFont="1" applyFill="1" applyBorder="1" applyAlignment="1" applyProtection="1">
      <alignment horizontal="center" vertical="center"/>
      <protection locked="0"/>
    </xf>
    <xf numFmtId="0" fontId="41" fillId="0" borderId="0" xfId="80" applyFont="1" applyFill="1" applyBorder="1" applyAlignment="1" applyProtection="1">
      <alignment horizontal="center" vertical="center"/>
      <protection locked="0"/>
    </xf>
    <xf numFmtId="0" fontId="41" fillId="0" borderId="27" xfId="80" applyFont="1" applyFill="1" applyBorder="1" applyAlignment="1" applyProtection="1">
      <alignment horizontal="center" vertical="center"/>
      <protection locked="0"/>
    </xf>
    <xf numFmtId="0" fontId="41" fillId="0" borderId="31" xfId="80" applyFont="1" applyFill="1" applyBorder="1" applyAlignment="1" applyProtection="1">
      <alignment horizontal="center" vertical="center"/>
      <protection locked="0"/>
    </xf>
    <xf numFmtId="0" fontId="41" fillId="0" borderId="9" xfId="80" applyFont="1" applyFill="1" applyBorder="1" applyAlignment="1" applyProtection="1">
      <alignment horizontal="center" vertical="center"/>
      <protection locked="0"/>
    </xf>
    <xf numFmtId="0" fontId="41" fillId="0" borderId="36" xfId="80" applyFont="1" applyFill="1" applyBorder="1" applyAlignment="1" applyProtection="1">
      <alignment horizontal="center" vertical="center"/>
      <protection locked="0"/>
    </xf>
    <xf numFmtId="0" fontId="42" fillId="0" borderId="18" xfId="80" applyFont="1" applyFill="1" applyBorder="1" applyAlignment="1" applyProtection="1">
      <alignment horizontal="center" vertical="center"/>
      <protection locked="0"/>
    </xf>
    <xf numFmtId="0" fontId="42" fillId="0" borderId="19" xfId="80" applyFont="1" applyFill="1" applyBorder="1" applyAlignment="1" applyProtection="1">
      <alignment horizontal="center" vertical="center"/>
      <protection locked="0"/>
    </xf>
    <xf numFmtId="0" fontId="42" fillId="0" borderId="32" xfId="80" applyFont="1" applyFill="1" applyBorder="1" applyAlignment="1" applyProtection="1">
      <alignment horizontal="center" vertical="center"/>
      <protection locked="0"/>
    </xf>
    <xf numFmtId="0" fontId="42" fillId="0" borderId="26" xfId="80" applyFont="1" applyFill="1" applyBorder="1" applyAlignment="1" applyProtection="1">
      <alignment horizontal="center" vertical="center"/>
      <protection locked="0"/>
    </xf>
    <xf numFmtId="0" fontId="42" fillId="0" borderId="0" xfId="80" applyFont="1" applyFill="1" applyBorder="1" applyAlignment="1" applyProtection="1">
      <alignment horizontal="center" vertical="center"/>
      <protection locked="0"/>
    </xf>
    <xf numFmtId="0" fontId="42" fillId="0" borderId="27" xfId="80" applyFont="1" applyFill="1" applyBorder="1" applyAlignment="1" applyProtection="1">
      <alignment horizontal="center" vertical="center"/>
      <protection locked="0"/>
    </xf>
    <xf numFmtId="0" fontId="42" fillId="0" borderId="31" xfId="80" applyFont="1" applyFill="1" applyBorder="1" applyAlignment="1" applyProtection="1">
      <alignment horizontal="center" vertical="center"/>
      <protection locked="0"/>
    </xf>
    <xf numFmtId="0" fontId="42" fillId="0" borderId="9" xfId="80" applyFont="1" applyFill="1" applyBorder="1" applyAlignment="1" applyProtection="1">
      <alignment horizontal="center" vertical="center"/>
      <protection locked="0"/>
    </xf>
    <xf numFmtId="0" fontId="42" fillId="0" borderId="36" xfId="80" applyFont="1" applyFill="1" applyBorder="1" applyAlignment="1" applyProtection="1">
      <alignment horizontal="center" vertical="center"/>
      <protection locked="0"/>
    </xf>
  </cellXfs>
  <cellStyles count="136">
    <cellStyle name="%" xfId="135"/>
    <cellStyle name="_Access Charges - Unit wise Feb 04" xfId="1"/>
    <cellStyle name="_CRP." xfId="2"/>
    <cellStyle name="_Delhi - CAPEX - updated Dec 30" xfId="3"/>
    <cellStyle name="_DSL profitability- Feb '04_Access" xfId="4"/>
    <cellStyle name="_Ittina" xfId="5"/>
    <cellStyle name="_KPI definitions_Draft" xfId="6"/>
    <cellStyle name="_KPI definitions_Draft_Enh_Finacial_Report-2009-10" xfId="7"/>
    <cellStyle name="_KPI definitions_Draft_New NFA &amp; WO Format with Analysis" xfId="8"/>
    <cellStyle name="_KPI definitions_Draft_New WO &amp; NFA Format" xfId="9"/>
    <cellStyle name="_KPI definitions_Draft_NFA Formart with Analysis" xfId="10"/>
    <cellStyle name="_KTG (for new roll out referal)" xfId="11"/>
    <cellStyle name="_NDB03,04,05 (I) revised" xfId="12"/>
    <cellStyle name="_NFA MIS" xfId="13"/>
    <cellStyle name="_Opex_11" xfId="14"/>
    <cellStyle name="_Presentation DL Ver.5" xfId="15"/>
    <cellStyle name="_Presentation DL Ver.5_Enh_Finacial_Report-2009-10" xfId="16"/>
    <cellStyle name="_Presentation DL Ver.5_New NFA &amp; WO Format with Analysis" xfId="17"/>
    <cellStyle name="_Presentation DL Ver.5_New WO &amp; NFA Format" xfId="18"/>
    <cellStyle name="_Presentation DL Ver.5_NFA Formart with Analysis" xfId="19"/>
    <cellStyle name="=C:\WINDOWS\SYSTEM32\COMMAND.COM" xfId="20"/>
    <cellStyle name="•W_laroux" xfId="21"/>
    <cellStyle name="0000" xfId="22"/>
    <cellStyle name="000000" xfId="23"/>
    <cellStyle name="blank" xfId="24"/>
    <cellStyle name="Body" xfId="25"/>
    <cellStyle name="Boxed" xfId="26"/>
    <cellStyle name="Calc Currency (0)" xfId="27"/>
    <cellStyle name="Calc Currency (2)" xfId="28"/>
    <cellStyle name="Calc Percent (0)" xfId="29"/>
    <cellStyle name="Calc Percent (1)" xfId="30"/>
    <cellStyle name="Calc Percent (2)" xfId="31"/>
    <cellStyle name="Calc Units (0)" xfId="32"/>
    <cellStyle name="Calc Units (1)" xfId="33"/>
    <cellStyle name="Calc Units (2)" xfId="34"/>
    <cellStyle name="Colour" xfId="35"/>
    <cellStyle name="Comma" xfId="36" builtinId="3"/>
    <cellStyle name="Comma [00]" xfId="37"/>
    <cellStyle name="Comma 2" xfId="38"/>
    <cellStyle name="Comma 2 2" xfId="39"/>
    <cellStyle name="Comma 3" xfId="40"/>
    <cellStyle name="COMPS" xfId="41"/>
    <cellStyle name="Currency [00]" xfId="42"/>
    <cellStyle name="DATA_ENT" xfId="43"/>
    <cellStyle name="Date" xfId="44"/>
    <cellStyle name="Date Short" xfId="45"/>
    <cellStyle name="Date_HKNet NA100_SW y1-31" xfId="46"/>
    <cellStyle name="Dezimal [0]_Formular (2)" xfId="47"/>
    <cellStyle name="Dezimal_Formular (2)" xfId="48"/>
    <cellStyle name="discount" xfId="49"/>
    <cellStyle name="DOWNFOOT" xfId="50"/>
    <cellStyle name="Enter Currency (0)" xfId="51"/>
    <cellStyle name="Enter Currency (2)" xfId="52"/>
    <cellStyle name="Enter Units (0)" xfId="53"/>
    <cellStyle name="Enter Units (1)" xfId="54"/>
    <cellStyle name="Enter Units (2)" xfId="55"/>
    <cellStyle name="Euro" xfId="56"/>
    <cellStyle name="Fixed" xfId="57"/>
    <cellStyle name="Grey" xfId="58"/>
    <cellStyle name="HEADER" xfId="59"/>
    <cellStyle name="Header - Style1" xfId="60"/>
    <cellStyle name="HEADER_cost sheet with backup" xfId="61"/>
    <cellStyle name="Header1" xfId="62"/>
    <cellStyle name="Header2" xfId="63"/>
    <cellStyle name="Heading1" xfId="64"/>
    <cellStyle name="Heading2" xfId="65"/>
    <cellStyle name="helv" xfId="66"/>
    <cellStyle name="Input [yellow]" xfId="67"/>
    <cellStyle name="Komma [0]_RESULTS" xfId="68"/>
    <cellStyle name="Komma_RESULTS" xfId="69"/>
    <cellStyle name="Link Currency (0)" xfId="70"/>
    <cellStyle name="Link Currency (2)" xfId="71"/>
    <cellStyle name="Link Units (0)" xfId="72"/>
    <cellStyle name="Link Units (1)" xfId="73"/>
    <cellStyle name="Link Units (2)" xfId="74"/>
    <cellStyle name="Milliers [0]_laroux" xfId="75"/>
    <cellStyle name="Milliers_laroux" xfId="76"/>
    <cellStyle name="Monétaire [0]_laroux" xfId="77"/>
    <cellStyle name="Monétaire_laroux" xfId="78"/>
    <cellStyle name="no dec" xfId="79"/>
    <cellStyle name="Nor}al" xfId="80"/>
    <cellStyle name="Nor}al 2" xfId="81"/>
    <cellStyle name="Nor}al_Enh_Finacial_Report-2009-10" xfId="82"/>
    <cellStyle name="Normal" xfId="0" builtinId="0"/>
    <cellStyle name="Normal - Style1" xfId="83"/>
    <cellStyle name="Normal 2" xfId="84"/>
    <cellStyle name="Normal 2 2 2 2" xfId="85"/>
    <cellStyle name="Normal 3" xfId="86"/>
    <cellStyle name="Normal 95" xfId="134"/>
    <cellStyle name="Obsolete" xfId="87"/>
    <cellStyle name="Œ…‹æØ‚è [0.00]_laroux" xfId="88"/>
    <cellStyle name="Œ…‹æØ‚è_laroux" xfId="89"/>
    <cellStyle name="Output Amounts" xfId="90"/>
    <cellStyle name="Output Column Headings" xfId="91"/>
    <cellStyle name="Output Line Items" xfId="92"/>
    <cellStyle name="Output Report Heading" xfId="93"/>
    <cellStyle name="Output Report Title" xfId="94"/>
    <cellStyle name="Percent" xfId="95" builtinId="5"/>
    <cellStyle name="Percent (0)" xfId="96"/>
    <cellStyle name="Percent [0]" xfId="97"/>
    <cellStyle name="Percent [00]" xfId="98"/>
    <cellStyle name="Percent [2]" xfId="99"/>
    <cellStyle name="Percent 2" xfId="100"/>
    <cellStyle name="PrePop Currency (0)" xfId="101"/>
    <cellStyle name="PrePop Currency (2)" xfId="102"/>
    <cellStyle name="PrePop Units (0)" xfId="103"/>
    <cellStyle name="PrePop Units (1)" xfId="104"/>
    <cellStyle name="PrePop Units (2)" xfId="105"/>
    <cellStyle name="PSChar" xfId="106"/>
    <cellStyle name="PSDate" xfId="107"/>
    <cellStyle name="PSDec" xfId="108"/>
    <cellStyle name="PSHeading" xfId="109"/>
    <cellStyle name="PSInt" xfId="110"/>
    <cellStyle name="PSSpacer" xfId="111"/>
    <cellStyle name="Standard_MENÜ.XLM" xfId="112"/>
    <cellStyle name="Style 1" xfId="113"/>
    <cellStyle name="taples Plaza" xfId="114"/>
    <cellStyle name="Text" xfId="115"/>
    <cellStyle name="Text Indent A" xfId="116"/>
    <cellStyle name="Text Indent B" xfId="117"/>
    <cellStyle name="Text Indent C" xfId="118"/>
    <cellStyle name="TextData" xfId="119"/>
    <cellStyle name="TextDataFlag" xfId="120"/>
    <cellStyle name="TextDataLong" xfId="121"/>
    <cellStyle name="Title2" xfId="122"/>
    <cellStyle name="TitleVertical" xfId="123"/>
    <cellStyle name="Tusental (0)_pldt" xfId="124"/>
    <cellStyle name="Tusental_NPV" xfId="125"/>
    <cellStyle name="Valuta (0)_pldt" xfId="126"/>
    <cellStyle name="Valuta [0]_RESULTS" xfId="127"/>
    <cellStyle name="Valuta_NPV" xfId="128"/>
    <cellStyle name="Währung [0]_MFun" xfId="129"/>
    <cellStyle name="Währung_MFun" xfId="130"/>
    <cellStyle name="WHead - Style2" xfId="131"/>
    <cellStyle name="標準_NTT G.Lite Pricing Jan 25th" xfId="132"/>
    <cellStyle name="通貨 [0.00]_NTT G.Lite Pricing Jan 25th" xfId="133"/>
  </cellStyles>
  <dxfs count="0"/>
  <tableStyles count="0" defaultTableStyle="TableStyleMedium9" defaultPivotStyle="PivotStyleLight16"/>
  <colors>
    <mruColors>
      <color rgb="FF10CE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1238251</xdr:colOff>
      <xdr:row>0</xdr:row>
      <xdr:rowOff>207881</xdr:rowOff>
    </xdr:from>
    <xdr:to>
      <xdr:col>9</xdr:col>
      <xdr:colOff>879022</xdr:colOff>
      <xdr:row>3</xdr:row>
      <xdr:rowOff>183696</xdr:rowOff>
    </xdr:to>
    <xdr:pic>
      <xdr:nvPicPr>
        <xdr:cNvPr id="3716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94965" y="207881"/>
          <a:ext cx="1913164" cy="696994"/>
        </a:xfrm>
        <a:prstGeom prst="rect">
          <a:avLst/>
        </a:prstGeom>
        <a:noFill/>
        <a:ln>
          <a:noFill/>
        </a:ln>
        <a:effectLst>
          <a:prstShdw prst="shdw17" dist="17961" dir="2700000">
            <a:srgbClr val="FFFFFF"/>
          </a:prst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122464</xdr:colOff>
      <xdr:row>8</xdr:row>
      <xdr:rowOff>612324</xdr:rowOff>
    </xdr:from>
    <xdr:ext cx="2457917" cy="374141"/>
    <xdr:sp macro="[0]!Text_to_Column" textlink="">
      <xdr:nvSpPr>
        <xdr:cNvPr id="2" name="TextBox 1"/>
        <xdr:cNvSpPr txBox="1"/>
      </xdr:nvSpPr>
      <xdr:spPr>
        <a:xfrm>
          <a:off x="12436928" y="3211288"/>
          <a:ext cx="2457917" cy="374141"/>
        </a:xfrm>
        <a:prstGeom prst="rect">
          <a:avLst/>
        </a:prstGeom>
        <a:gradFill flip="none" rotWithShape="1">
          <a:gsLst>
            <a:gs pos="0">
              <a:srgbClr val="10CE22">
                <a:shade val="30000"/>
                <a:satMod val="115000"/>
              </a:srgbClr>
            </a:gs>
            <a:gs pos="50000">
              <a:srgbClr val="10CE22">
                <a:shade val="67500"/>
                <a:satMod val="115000"/>
              </a:srgbClr>
            </a:gs>
            <a:gs pos="100000">
              <a:srgbClr val="10CE22">
                <a:shade val="100000"/>
                <a:satMod val="115000"/>
              </a:srgbClr>
            </a:gs>
          </a:gsLst>
          <a:path path="circle">
            <a:fillToRect r="100000" b="100000"/>
          </a:path>
          <a:tileRect l="-100000" t="-100000"/>
        </a:gradFill>
        <a:effectLst>
          <a:reflection blurRad="6350" stA="50000" endA="300" endPos="90000" dir="5400000" sy="-100000" algn="bl" rotWithShape="0"/>
          <a:softEdge rad="1270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b="1">
              <a:solidFill>
                <a:schemeClr val="lt1"/>
              </a:solidFill>
              <a:latin typeface="+mn-lt"/>
              <a:ea typeface="+mn-ea"/>
              <a:cs typeface="+mn-cs"/>
            </a:rPr>
            <a:t>Convert</a:t>
          </a:r>
          <a:r>
            <a:rPr lang="en-IN" sz="1800" b="1"/>
            <a:t> Text </a:t>
          </a:r>
          <a:r>
            <a:rPr lang="en-IN" sz="1800" b="1">
              <a:solidFill>
                <a:schemeClr val="lt1"/>
              </a:solidFill>
              <a:latin typeface="+mn-lt"/>
              <a:ea typeface="+mn-ea"/>
              <a:cs typeface="+mn-cs"/>
            </a:rPr>
            <a:t>to</a:t>
          </a:r>
          <a:r>
            <a:rPr lang="en-IN" sz="1800" b="1"/>
            <a:t> Column</a:t>
          </a:r>
        </a:p>
      </xdr:txBody>
    </xdr:sp>
    <xdr:clientData/>
  </xdr:oneCellAnchor>
  <xdr:oneCellAnchor>
    <xdr:from>
      <xdr:col>15</xdr:col>
      <xdr:colOff>54428</xdr:colOff>
      <xdr:row>9</xdr:row>
      <xdr:rowOff>0</xdr:rowOff>
    </xdr:from>
    <xdr:ext cx="1756378" cy="374141"/>
    <xdr:sp macro="[0]!Formate" textlink="">
      <xdr:nvSpPr>
        <xdr:cNvPr id="4" name="TextBox 3"/>
        <xdr:cNvSpPr txBox="1"/>
      </xdr:nvSpPr>
      <xdr:spPr>
        <a:xfrm>
          <a:off x="15022285" y="3224893"/>
          <a:ext cx="1756378" cy="374141"/>
        </a:xfrm>
        <a:prstGeom prst="rect">
          <a:avLst/>
        </a:prstGeom>
        <a:gradFill flip="none" rotWithShape="1">
          <a:gsLst>
            <a:gs pos="0">
              <a:srgbClr val="10CE22">
                <a:shade val="30000"/>
                <a:satMod val="115000"/>
              </a:srgbClr>
            </a:gs>
            <a:gs pos="50000">
              <a:srgbClr val="10CE22">
                <a:shade val="67500"/>
                <a:satMod val="115000"/>
              </a:srgbClr>
            </a:gs>
            <a:gs pos="100000">
              <a:srgbClr val="10CE22">
                <a:shade val="100000"/>
                <a:satMod val="115000"/>
              </a:srgb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r="5400000" sy="-100000" algn="bl" rotWithShape="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b="1">
              <a:solidFill>
                <a:schemeClr val="lt1"/>
              </a:solidFill>
              <a:latin typeface="+mn-lt"/>
              <a:ea typeface="+mn-ea"/>
              <a:cs typeface="+mn-cs"/>
            </a:rPr>
            <a:t>Change</a:t>
          </a:r>
          <a:r>
            <a:rPr lang="en-IN" sz="1800" b="1"/>
            <a:t> Formate</a:t>
          </a:r>
        </a:p>
      </xdr:txBody>
    </xdr:sp>
    <xdr:clientData/>
  </xdr:oneCellAnchor>
  <xdr:oneCellAnchor>
    <xdr:from>
      <xdr:col>18</xdr:col>
      <xdr:colOff>353787</xdr:colOff>
      <xdr:row>8</xdr:row>
      <xdr:rowOff>612322</xdr:rowOff>
    </xdr:from>
    <xdr:ext cx="719108" cy="374141"/>
    <xdr:sp macro="[0]!delete" textlink="">
      <xdr:nvSpPr>
        <xdr:cNvPr id="5" name="TextBox 4"/>
        <xdr:cNvSpPr txBox="1"/>
      </xdr:nvSpPr>
      <xdr:spPr>
        <a:xfrm>
          <a:off x="16913680" y="3211286"/>
          <a:ext cx="719108" cy="374141"/>
        </a:xfrm>
        <a:prstGeom prst="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r="100000" b="100000"/>
          </a:path>
          <a:tileRect l="-100000" t="-100000"/>
        </a:gradFill>
        <a:effectLst>
          <a:outerShdw blurRad="40000" dist="23000" dir="5400000" rotWithShape="0">
            <a:srgbClr val="000000">
              <a:alpha val="35000"/>
            </a:srgbClr>
          </a:outerShdw>
          <a:reflection blurRad="6350" stA="50000" endA="300" endPos="90000" dir="5400000" sy="-100000" algn="bl" rotWithShape="0"/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800" b="1"/>
            <a:t>Reset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pc07\s%20g\BTNL\Bus.Plan-Nov.2001\Opex%20Business%20Plan%20Y1-Y5%20140901(op-4%25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tnlkk106\d$\windows\TEMP\Asset%20Details%20Mar'02%20less%20than%20Rs%2050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tnlkk106\d$\DOCUME~1\PAWANT~1\LOCALS~1\Temp\C.Lotus.Notes.Data\BUDGET%20ESTIMATE%20FOR%20MARCH%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pc07\s%20g\BTNL\Bus.Plan-Nov.2001\windows\TEMP\MIS\Capex%20MIS%20JAN'0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pc07\my%20documents\WINDOWS\Desktop\Business%20plan%20-sent%20by%20sunil%20goel%20only%20wired%20lin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tnlkk106\d$\MAPA%20Folders\MAPA\November\Consol\Bharti_AccessCopy%20of%20Manisha%20Checking%20on%20041202.xlt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tnlkk106\d$\MAPA%20Folders\MAPA\November\Consol\Bharti_Access.XLTManisha%20Checking.XLT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eadfinnotebook\c\WINDOWS\Temporary%20Internet%20Files\OLKB1F1\WINDOWS\Temporary%20Internet%20Files\OLKB1F1\BTNL_KNK_Opex%20Budget_Bangalor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nance7\c\BTNL\Bus.Plan-Nov.2001\Opex%20Business%20Plan%20Y1-Y5%20140901(op-4%25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rgaon"/>
      <sheetName val="Faridabad"/>
      <sheetName val="Karnal"/>
      <sheetName val="Panipat"/>
      <sheetName val="Ambala"/>
      <sheetName val="Hissar"/>
      <sheetName val="CF"/>
      <sheetName val="BS"/>
      <sheetName val="B'Sheet"/>
      <sheetName val="P&amp;L"/>
      <sheetName val="Op."/>
      <sheetName val="Sheet1"/>
      <sheetName val="ROI Summ"/>
      <sheetName val="Pending"/>
      <sheetName val="Backup"/>
      <sheetName val="Asmp"/>
      <sheetName val="Ggn"/>
      <sheetName val="Fbd"/>
      <sheetName val="Kar"/>
      <sheetName val="Pan"/>
      <sheetName val="Amb"/>
      <sheetName val="Panch"/>
      <sheetName val="Yam"/>
      <sheetName val="Son"/>
      <sheetName val="Kur"/>
      <sheetName val="Roh"/>
      <sheetName val="Jin"/>
      <sheetName val="His"/>
      <sheetName val="Sir"/>
      <sheetName val="Bhi"/>
      <sheetName val="Bah"/>
      <sheetName val="Rew"/>
      <sheetName val="Kai"/>
      <sheetName val="Breadown"/>
      <sheetName val="#REF"/>
      <sheetName val="DLC lookups"/>
      <sheetName val="B_Sheet"/>
      <sheetName val="Capex &amp; Opex"/>
      <sheetName val="MSU"/>
      <sheetName val="Formulae"/>
      <sheetName val="Final"/>
      <sheetName val="Summary-Price_New"/>
      <sheetName val="Sheet3"/>
      <sheetName val="AN-2K"/>
      <sheetName val="Switch V16"/>
      <sheetName val="CALCULATIONS"/>
      <sheetName val="HR"/>
      <sheetName val="Total Haryana POs AMC Sheet 3%"/>
      <sheetName val="delhi 03-04AMC @ 3%"/>
      <sheetName val="itemsdetails"/>
      <sheetName val="Summary"/>
      <sheetName val="LOM_MOD"/>
      <sheetName val="Factors"/>
      <sheetName val="Update"/>
      <sheetName val="Storage"/>
      <sheetName val="Requirements"/>
      <sheetName val="MD5500"/>
      <sheetName val="SPS DETAIL"/>
      <sheetName val="Outgoing"/>
      <sheetName val="Sch4_14"/>
      <sheetName val="Sch1_3"/>
      <sheetName val="Indirect expenses"/>
      <sheetName val="L.L Rates"/>
      <sheetName val="Op_"/>
      <sheetName val="ROI_Summ"/>
      <sheetName val="DLC_lookups"/>
      <sheetName val="Capex_&amp;_Opex"/>
      <sheetName val="Switch_V16"/>
      <sheetName val="Total_Haryana_POs_AMC_Sheet_3%"/>
      <sheetName val="delhi_03-04AMC_@_3%"/>
      <sheetName val="Component Pricing, Costs"/>
      <sheetName val="GSM"/>
      <sheetName val="new_main_20K"/>
      <sheetName val="AP"/>
      <sheetName val="Chennai"/>
      <sheetName val="Delhi"/>
      <sheetName val="Gujarat"/>
      <sheetName val="Haryana"/>
      <sheetName val="HP"/>
      <sheetName val="Kerala"/>
      <sheetName val="Kk"/>
      <sheetName val="Kolkata"/>
      <sheetName val="Maharashtra"/>
      <sheetName val="MP"/>
      <sheetName val="Mumbai"/>
      <sheetName val="Punjab"/>
      <sheetName val="TN"/>
      <sheetName val="UPWest"/>
      <sheetName val="KPIs"/>
      <sheetName val="Factor_sheet"/>
      <sheetName val="CTbe tong"/>
      <sheetName val="CTDZ 0.4+cto"/>
      <sheetName val="산출기준(파견전산실)"/>
      <sheetName val="Variables"/>
      <sheetName val="Op_1"/>
      <sheetName val="ROI_Summ1"/>
      <sheetName val="DLC_lookups1"/>
      <sheetName val="Capex_&amp;_Opex1"/>
      <sheetName val="Switch_V161"/>
      <sheetName val="Total_Haryana_POs_AMC_Sheet_3%1"/>
      <sheetName val="delhi_03-04AMC_@_3%1"/>
      <sheetName val="L_L_Rates"/>
      <sheetName val="SPS_DETAIL"/>
      <sheetName val="Component_Pricing,_Costs"/>
      <sheetName val="Indirect_expenses"/>
      <sheetName val="MTO REV.0"/>
      <sheetName val="Network Summary"/>
      <sheetName val="Prices"/>
      <sheetName val="Control"/>
      <sheetName val="Calc"/>
      <sheetName val="Locked"/>
      <sheetName val="Calcs"/>
      <sheetName val="Opex Business Plan Y1-Y5 140901"/>
      <sheetName val="Opex_Business_Plan_Y1-Y5_140901"/>
      <sheetName val="Ref"/>
      <sheetName val="InputVariables"/>
      <sheetName val="BCL-Barclays"/>
      <sheetName val="MODEL"/>
      <sheetName val="Profile"/>
      <sheetName val="E&amp;I"/>
      <sheetName val="SCEL Funding"/>
      <sheetName val="DSL-S"/>
      <sheetName val="LA- lookups"/>
      <sheetName val="Other assumptions"/>
      <sheetName val="INNOVATION"/>
      <sheetName val="factor sheet"/>
      <sheetName val="database-NO"/>
      <sheetName val="A0744339"/>
      <sheetName val="SCEL_Funding"/>
      <sheetName val="LA-_lookups"/>
      <sheetName val="Other_assumptions"/>
      <sheetName val="entitlements"/>
      <sheetName val="Assumptions"/>
      <sheetName val="discounts_XP140"/>
      <sheetName val="Indirect_expenses1"/>
      <sheetName val="SCEL_Funding1"/>
      <sheetName val="LA-_lookups1"/>
      <sheetName val="Other_assumptions1"/>
      <sheetName val="Network_Summary"/>
      <sheetName val="factor"/>
      <sheetName val="Rabo-150 crs"/>
      <sheetName val="Rabo-125 Crs"/>
      <sheetName val="BCL-HDFC Bank-20 crs 8%"/>
      <sheetName val="BIL-IL&amp;FS-50 Cr"/>
      <sheetName val="BML-Citi"/>
      <sheetName val="BTVL-IL&amp;FS-50 Cr"/>
      <sheetName val="Comm Paper"/>
      <sheetName val="INPUT"/>
      <sheetName val="FORM-16"/>
      <sheetName val="currency"/>
      <sheetName val="LANGUAGE"/>
      <sheetName val="Op_2"/>
      <sheetName val="ROI_Summ2"/>
      <sheetName val="Indirect_expenses2"/>
      <sheetName val="Switch_V162"/>
      <sheetName val="Total_Haryana_POs_AMC_Sheet_3%2"/>
      <sheetName val="delhi_03-04AMC_@_3%2"/>
      <sheetName val="SCEL_Funding2"/>
      <sheetName val="LA-_lookups2"/>
      <sheetName val="Other_assumptions2"/>
      <sheetName val="factor_sheet1"/>
      <sheetName val="SPS_DETAIL1"/>
      <sheetName val="Network_Summary1"/>
      <sheetName val="Rabo-150_crs"/>
      <sheetName val="Rabo-125_Crs"/>
      <sheetName val="BCL-HDFC_Bank-20_crs_8%"/>
      <sheetName val="BIL-IL&amp;FS-50_Cr"/>
      <sheetName val="BTVL-IL&amp;FS-50_Cr"/>
      <sheetName val="Comm_Paper"/>
      <sheetName val="A6"/>
      <sheetName val="PTE COST "/>
      <sheetName val="Cabinet details"/>
      <sheetName val="Capex - summary"/>
      <sheetName val="Town wise Graph"/>
      <sheetName val="TB"/>
      <sheetName val="DLC_lookups2"/>
      <sheetName val="Capex_&amp;_Opex2"/>
      <sheetName val="L_L_Rates1"/>
      <sheetName val="Component_Pricing,_Costs1"/>
      <sheetName val="CTbe_tong"/>
      <sheetName val="CTDZ_0_4+cto"/>
      <sheetName val="Opex_Business_Plan_Y1-Y5_140902"/>
      <sheetName val="MTO_REV_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34">
          <cell r="D234">
            <v>1000000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/>
      <sheetData sheetId="176"/>
      <sheetData sheetId="177"/>
      <sheetData sheetId="178"/>
      <sheetData sheetId="179"/>
      <sheetData sheetId="180"/>
      <sheetData sheetId="181"/>
      <sheetData sheetId="18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ther Assets"/>
      <sheetName val="BTNL DEP"/>
      <sheetName val="BTNL DEP1"/>
      <sheetName val="Index"/>
      <sheetName val="Vehicles"/>
    </sheetNames>
    <sheetDataSet>
      <sheetData sheetId="0" refreshError="1"/>
      <sheetData sheetId="1"/>
      <sheetData sheetId="2" refreshError="1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porate requirement"/>
      <sheetName val="SMA14C"/>
      <sheetName val="SMA16"/>
      <sheetName val="SMA1K"/>
      <sheetName val="conversion_rate"/>
      <sheetName val="REQUIREMENT"/>
      <sheetName val="PLAN FOR MSU"/>
    </sheetNames>
    <sheetDataSet>
      <sheetData sheetId="0"/>
      <sheetData sheetId="1"/>
      <sheetData sheetId="2"/>
      <sheetData sheetId="3"/>
      <sheetData sheetId="4" refreshError="1">
        <row r="4">
          <cell r="C4">
            <v>50</v>
          </cell>
        </row>
      </sheetData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ial"/>
      <sheetName val="MFA"/>
      <sheetName val="Sheet1"/>
      <sheetName val="CONS"/>
      <sheetName val="CONS-Fbd"/>
      <sheetName val="FBD"/>
      <sheetName val="GGN"/>
      <sheetName val="MSU"/>
      <sheetName val="RE&amp;IF"/>
      <sheetName val="CONS-GGN"/>
      <sheetName val="RSU-DoT"/>
      <sheetName val="RSU-Sect.19"/>
      <sheetName val="CFE"/>
      <sheetName val="TEL"/>
      <sheetName val="DLF P-I"/>
      <sheetName val="DLF P-III"/>
      <sheetName val="Sush.Lok-I"/>
      <sheetName val="Palam V."/>
      <sheetName val="South City"/>
      <sheetName val="Sect.39"/>
      <sheetName val="S-12"/>
      <sheetName val="S-13"/>
      <sheetName val="S-14"/>
      <sheetName val="S-15"/>
      <sheetName val="S-16"/>
      <sheetName val="_x0000__xffff_ FP-III"/>
      <sheetName val="Ref"/>
      <sheetName val="#REF"/>
      <sheetName val="KPIs"/>
      <sheetName val="dp"/>
      <sheetName val="Index"/>
      <sheetName val="_x0000__x0000_̃̃̃̃̃̃̃"/>
      <sheetName val="FIXED COST"/>
      <sheetName val="Capex - Hry"/>
      <sheetName val="Factor_Sheet"/>
      <sheetName val="Phase1"/>
      <sheetName val="Site config"/>
      <sheetName val="Factors"/>
      <sheetName val="RSU-Sect_19"/>
      <sheetName val="DLF_P-I"/>
      <sheetName val="DLF_P-III"/>
      <sheetName val="Sush_Lok-I"/>
      <sheetName val="Palam_V_"/>
      <sheetName val="South_City"/>
      <sheetName val="Sect_39"/>
      <sheetName val="_FP-III"/>
      <sheetName val="FIXED_COST"/>
      <sheetName val="Capex_-_Hry"/>
      <sheetName val="Profile"/>
      <sheetName val="Assumptions"/>
      <sheetName val="database-NO"/>
      <sheetName val="Edge_Multiservice"/>
      <sheetName val="Equip. Proj till Mar-06 Delhi"/>
      <sheetName val="Variables"/>
      <sheetName val="?_xffff_ FP-III"/>
      <sheetName val="??̃̃̃̃̃̃̃"/>
      <sheetName val="Menu"/>
      <sheetName val="Mas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4">
          <cell r="O4">
            <v>1000000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HI"/>
      <sheetName val="Assumptions"/>
      <sheetName val="Pub Rts 1.5 Standalone"/>
      <sheetName val="Capex - Hry"/>
      <sheetName val="CRITERIA4"/>
      <sheetName val="Cover"/>
      <sheetName val="PriceDB"/>
      <sheetName val="Configurator"/>
      <sheetName val="Sheet3"/>
      <sheetName val="DPlast-rev"/>
      <sheetName val="Index"/>
      <sheetName val="Inter connect Revenue"/>
      <sheetName val="Sheet1"/>
      <sheetName val="CRITERIA1"/>
      <sheetName val="Preside"/>
      <sheetName val="TRX ADDITION"/>
      <sheetName val="Indirect expenses"/>
      <sheetName val="Input"/>
      <sheetName val="calc"/>
      <sheetName val="database-NO"/>
      <sheetName val="Edge_Multiservice"/>
      <sheetName val="SWSUB_percentages"/>
      <sheetName val="PriceListAP"/>
      <sheetName val="#REF"/>
      <sheetName val="Variables"/>
      <sheetName val="Pub_Rts_1_5_Standalone"/>
      <sheetName val="Capex_-_Hry"/>
      <sheetName val="TRX_ADDITION"/>
      <sheetName val="Inter_connect_Revenue"/>
      <sheetName val="Indirect_expenses"/>
      <sheetName val="MSU"/>
      <sheetName val="Factor_Sheet"/>
      <sheetName val="COA-IPCL"/>
      <sheetName val="BSNL RAJ"/>
      <sheetName val="Base Data till Aug,10"/>
      <sheetName val="Pub_Rts_1_5_Standalone1"/>
      <sheetName val="Capex_-_Hry1"/>
      <sheetName val="Inter_connect_Revenue1"/>
      <sheetName val="TRX_ADDITION1"/>
      <sheetName val="Indirect_expenses1"/>
      <sheetName val="Feeds"/>
      <sheetName val="CRITERIA2"/>
      <sheetName val="Cons.Trial"/>
      <sheetName val="factor"/>
      <sheetName val="INNOVATION"/>
      <sheetName val="Factors"/>
      <sheetName val="factor sheet"/>
      <sheetName val="B'Sheet"/>
      <sheetName val="Asmp"/>
      <sheetName val="Profile"/>
      <sheetName val="Reference"/>
      <sheetName val="Synth"/>
      <sheetName val="Breakdown"/>
      <sheetName val="Pub_Rts_1_5_Standalone2"/>
      <sheetName val="Capex_-_Hry2"/>
      <sheetName val="Inter_connect_Revenue2"/>
      <sheetName val="TRX_ADDITION2"/>
      <sheetName val="Indirect_expenses2"/>
      <sheetName val="BSNL_RAJ"/>
      <sheetName val="Base_Data_till_Aug,10"/>
      <sheetName val="Cons_Trial"/>
      <sheetName val="Summary_Local"/>
      <sheetName val="Revenue"/>
      <sheetName val="Control"/>
      <sheetName val="Approval"/>
      <sheetName val="Base Data"/>
      <sheetName val="내역"/>
      <sheetName val="C2) TP split daily input data"/>
      <sheetName val="FilterTable"/>
      <sheetName val="Main_Menu"/>
      <sheetName val="LINKS"/>
      <sheetName val="NonUnitItems"/>
      <sheetName val="CostTable"/>
      <sheetName val="PriceTable"/>
      <sheetName val="Asset 5"/>
      <sheetName val="DataSheet"/>
      <sheetName val="Cal_Br (ob)"/>
      <sheetName val="TRIALBAL_dec_03_cal_br"/>
      <sheetName val="FURN. &amp; FIX."/>
      <sheetName val="STAX"/>
      <sheetName val="FA SYS"/>
      <sheetName val="DCF"/>
      <sheetName val="PZN DCF"/>
      <sheetName val="A-General"/>
      <sheetName val="Pub_Rts_1_5_Standalone3"/>
      <sheetName val="Capex_-_Hry3"/>
      <sheetName val="Inter_connect_Revenue3"/>
      <sheetName val="Indirect_expenses3"/>
      <sheetName val="TRX_ADDITION3"/>
      <sheetName val="BSNL_RAJ1"/>
      <sheetName val="Base_Data_till_Aug,101"/>
      <sheetName val="Cons_Trial1"/>
      <sheetName val="Base_Data"/>
      <sheetName val="C2)_TP_split_daily_input_data"/>
      <sheetName val="final entries effect_09.07.04"/>
      <sheetName val="IKB3"/>
      <sheetName val="DEG"/>
      <sheetName val="ifcw"/>
      <sheetName val="Asset_5"/>
      <sheetName val="Cal_Br_(ob)"/>
      <sheetName val="FURN__&amp;_FIX_"/>
      <sheetName val="FA_SYS"/>
      <sheetName val="Pub_Rts_1_5_Standalone4"/>
      <sheetName val="Capex_-_Hry4"/>
      <sheetName val="Inter_connect_Revenue4"/>
      <sheetName val="TRX_ADDITION4"/>
      <sheetName val="Indirect_expenses4"/>
      <sheetName val="BSNL_RAJ2"/>
      <sheetName val="Base_Data_till_Aug,102"/>
      <sheetName val="Cons_Trial2"/>
      <sheetName val="Base_Data1"/>
      <sheetName val="C2)_TP_split_daily_input_data1"/>
      <sheetName val="Asset_51"/>
      <sheetName val="Cal_Br_(ob)1"/>
      <sheetName val="FURN__&amp;_FIX_1"/>
      <sheetName val="FA_SYS1"/>
      <sheetName val="PZN_DCF"/>
      <sheetName val="POI_MASTER_1"/>
      <sheetName val="Total Haryana POs AMC Sheet 3%"/>
      <sheetName val="delhi 03-04AMC @ 3%"/>
      <sheetName val="itemsdetails"/>
      <sheetName val="Rates"/>
      <sheetName val="Estimated P&amp;L upto YTD July"/>
      <sheetName val="FAR - Demerged Co."/>
      <sheetName val="Occ"/>
      <sheetName val="Demand"/>
      <sheetName val="Switch costs lookup"/>
    </sheetNames>
    <sheetDataSet>
      <sheetData sheetId="0" refreshError="1"/>
      <sheetData sheetId="1" refreshError="1">
        <row r="9">
          <cell r="C9">
            <v>1.5</v>
          </cell>
        </row>
        <row r="10">
          <cell r="C10">
            <v>0.14000000000000001</v>
          </cell>
        </row>
        <row r="11">
          <cell r="C11">
            <v>1.2500000000000001E-2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"/>
      <sheetName val="InterCo"/>
      <sheetName val="Cover"/>
      <sheetName val="Access Cons P&amp;L FTM"/>
      <sheetName val="Access Cons P&amp;L YTD"/>
      <sheetName val="Access Cons BS"/>
      <sheetName val="Cash Flow FTM"/>
      <sheetName val="Cash Flow YTD"/>
      <sheetName val="Access P&amp;L FTM"/>
      <sheetName val="Access P&amp;L YTD"/>
      <sheetName val="Access BS Circle Wise "/>
      <sheetName val="Trends of P&amp;L"/>
      <sheetName val="Trends of BS"/>
      <sheetName val="Monthly Incremental Perf"/>
      <sheetName val="YTD Incremental Perf"/>
      <sheetName val="Service Rev Analy FTM"/>
      <sheetName val="Service Rev Analy YTD"/>
      <sheetName val="Acqu Cost FTM"/>
      <sheetName val="Acqu Cost YTD"/>
      <sheetName val="Technical"/>
      <sheetName val="Expense Analysis FTM"/>
      <sheetName val="Expense Analysis YTD"/>
    </sheetNames>
    <sheetDataSet>
      <sheetData sheetId="0" refreshError="1">
        <row r="7">
          <cell r="E7">
            <v>30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"/>
      <sheetName val="Trends of P&amp;L"/>
      <sheetName val="InterCo"/>
      <sheetName val="Cover"/>
      <sheetName val="Access Cons P&amp;L FTM"/>
      <sheetName val="Access Cons P&amp;L YTD"/>
      <sheetName val="Access Cons BS"/>
      <sheetName val="Access BS Circle Wise "/>
      <sheetName val="Cash Flow FTM"/>
      <sheetName val="Cash Flow YTD"/>
      <sheetName val="Access P&amp;L FTM"/>
      <sheetName val="Trends of BS"/>
      <sheetName val="Monthly Incremental Perf"/>
      <sheetName val="YTD Incremental Perf"/>
      <sheetName val="Service Rev Analy FTM"/>
      <sheetName val="Service Rev Analy YTD"/>
      <sheetName val="Expense Analysis FTM"/>
      <sheetName val="Expense Analysis YTD"/>
      <sheetName val="Access P&amp;L YTD"/>
      <sheetName val="Acqu Cost FTM"/>
      <sheetName val="Acqu Cost YTD"/>
      <sheetName val="Technical"/>
    </sheetNames>
    <sheetDataSet>
      <sheetData sheetId="0" refreshError="1">
        <row r="8">
          <cell r="E8">
            <v>244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 Opex"/>
      <sheetName val="HARYANA PREOP"/>
      <sheetName val="HARYANA2"/>
      <sheetName val="Preop"/>
      <sheetName val="summary"/>
      <sheetName val="Assumption"/>
      <sheetName val="BLR P&amp;L"/>
      <sheetName val="B'Sheet"/>
      <sheetName val="Y1-Y3"/>
      <sheetName val="ASSMP"/>
      <sheetName val="BLR"/>
      <sheetName val="opex"/>
      <sheetName val="Revenue "/>
      <sheetName val="network exp"/>
      <sheetName val="Access Chgs"/>
      <sheetName val="personnel-revised"/>
      <sheetName val="Mktg &amp; Selling Exp"/>
      <sheetName val="Finance Cost"/>
      <sheetName val="Admin Office"/>
      <sheetName val="Depreciation"/>
      <sheetName val="Pre Operative Exp"/>
      <sheetName val="Revenue-Detai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rgaon"/>
      <sheetName val="Faridabad"/>
      <sheetName val="Karnal"/>
      <sheetName val="Panipat"/>
      <sheetName val="Ambala"/>
      <sheetName val="Hissar"/>
      <sheetName val="CF"/>
      <sheetName val="BS"/>
      <sheetName val="B'Sheet"/>
      <sheetName val="P&amp;L"/>
      <sheetName val="Op."/>
      <sheetName val="Sheet1"/>
      <sheetName val="ROI Summ"/>
      <sheetName val="Pending"/>
      <sheetName val="Backup"/>
      <sheetName val="Asmp"/>
      <sheetName val="Ggn"/>
      <sheetName val="Fbd"/>
      <sheetName val="Kar"/>
      <sheetName val="Pan"/>
      <sheetName val="Amb"/>
      <sheetName val="Panch"/>
      <sheetName val="Yam"/>
      <sheetName val="Son"/>
      <sheetName val="Kur"/>
      <sheetName val="Roh"/>
      <sheetName val="Jin"/>
      <sheetName val="His"/>
      <sheetName val="Sir"/>
      <sheetName val="Bhi"/>
      <sheetName val="Bah"/>
      <sheetName val="Rew"/>
      <sheetName val="Kai"/>
      <sheetName val="Profile"/>
      <sheetName val="Indirect expenses"/>
      <sheetName val="B_Sheet"/>
      <sheetName val="MODEL"/>
      <sheetName val="#REF"/>
      <sheetName val="Final"/>
      <sheetName val="Summary-Price_New"/>
      <sheetName val="Sheet3"/>
      <sheetName val="AN-2K"/>
      <sheetName val="Switch V16"/>
      <sheetName val="Total Haryana POs AMC Sheet 3%"/>
      <sheetName val="delhi 03-04AMC @ 3%"/>
      <sheetName val="itemsdetails"/>
      <sheetName val="E&amp;I"/>
      <sheetName val="SCEL Funding"/>
      <sheetName val="DSL-S"/>
      <sheetName val="LA- lookups"/>
      <sheetName val="Other assumptions"/>
      <sheetName val="KPIs"/>
      <sheetName val="INNOVATION"/>
      <sheetName val="Factors"/>
      <sheetName val="factor sheet"/>
      <sheetName val="database-NO"/>
      <sheetName val="A0744339"/>
      <sheetName val="Op_"/>
      <sheetName val="ROI_Summ"/>
      <sheetName val="Indirect_expenses"/>
      <sheetName val="Switch_V16"/>
      <sheetName val="Total_Haryana_POs_AMC_Sheet_3%"/>
      <sheetName val="delhi_03-04AMC_@_3%"/>
      <sheetName val="SCEL_Funding"/>
      <sheetName val="LA-_lookups"/>
      <sheetName val="Other_assumptions"/>
      <sheetName val="entitlements"/>
      <sheetName val="Assumptions"/>
      <sheetName val="SPS DETAIL"/>
      <sheetName val="discounts_XP140"/>
      <sheetName val="Network Summary"/>
      <sheetName val="Prices"/>
      <sheetName val="Control"/>
      <sheetName val="Calc"/>
      <sheetName val="Op_1"/>
      <sheetName val="ROI_Summ1"/>
      <sheetName val="Indirect_expenses1"/>
      <sheetName val="Switch_V161"/>
      <sheetName val="Total_Haryana_POs_AMC_Sheet_3%1"/>
      <sheetName val="delhi_03-04AMC_@_3%1"/>
      <sheetName val="SCEL_Funding1"/>
      <sheetName val="LA-_lookups1"/>
      <sheetName val="Other_assumptions1"/>
      <sheetName val="factor_sheet"/>
      <sheetName val="SPS_DETAIL"/>
      <sheetName val="Network_Summary"/>
      <sheetName val="Ref"/>
      <sheetName val="Opex Business Plan Y1-Y5 140901"/>
      <sheetName val="new_main_20K"/>
      <sheetName val="factor"/>
      <sheetName val="Rabo-150 crs"/>
      <sheetName val="Rabo-125 Crs"/>
      <sheetName val="BCL-HDFC Bank-20 crs 8%"/>
      <sheetName val="BIL-IL&amp;FS-50 Cr"/>
      <sheetName val="BML-Citi"/>
      <sheetName val="BTVL-IL&amp;FS-50 Cr"/>
      <sheetName val="Comm Paper"/>
      <sheetName val="INPUT"/>
      <sheetName val="MSU"/>
      <sheetName val="CALCULATIONS"/>
      <sheetName val="FORM-16"/>
      <sheetName val="currency"/>
      <sheetName val="LANGUAGE"/>
      <sheetName val="Op_2"/>
      <sheetName val="ROI_Summ2"/>
      <sheetName val="Indirect_expenses2"/>
      <sheetName val="Switch_V162"/>
      <sheetName val="Total_Haryana_POs_AMC_Sheet_3%2"/>
      <sheetName val="delhi_03-04AMC_@_3%2"/>
      <sheetName val="SCEL_Funding2"/>
      <sheetName val="LA-_lookups2"/>
      <sheetName val="Other_assumptions2"/>
      <sheetName val="factor_sheet1"/>
      <sheetName val="SPS_DETAIL1"/>
      <sheetName val="Network_Summary1"/>
      <sheetName val="Opex_Business_Plan_Y1-Y5_140901"/>
      <sheetName val="Rabo-150_crs"/>
      <sheetName val="Rabo-125_Crs"/>
      <sheetName val="BCL-HDFC_Bank-20_crs_8%"/>
      <sheetName val="BIL-IL&amp;FS-50_Cr"/>
      <sheetName val="BTVL-IL&amp;FS-50_Cr"/>
      <sheetName val="Comm_Paper"/>
      <sheetName val="A6"/>
      <sheetName val="PTE COST "/>
      <sheetName val="Cabinet details"/>
      <sheetName val="Masters"/>
      <sheetName val="cost"/>
      <sheetName val="Capex - summary"/>
      <sheetName val="ALL-IBANK-BRS"/>
      <sheetName val="Breadown"/>
      <sheetName val="DLC lookups"/>
      <sheetName val="Capex &amp; Opex"/>
      <sheetName val="Formulae"/>
      <sheetName val="HR"/>
      <sheetName val="Update"/>
      <sheetName val="Summary"/>
      <sheetName val="LOM_MOD"/>
      <sheetName val="Storage"/>
      <sheetName val="Requirements"/>
      <sheetName val="L.L Rates"/>
      <sheetName val="Outgoing"/>
      <sheetName val="Sch4_14"/>
      <sheetName val="Sch1_3"/>
      <sheetName val="MD5500"/>
      <sheetName val="Component Pricing, Costs"/>
      <sheetName val="GSM"/>
      <sheetName val="DLC_lookups"/>
      <sheetName val="Capex_&amp;_Opex"/>
      <sheetName val="AP"/>
      <sheetName val="Chennai"/>
      <sheetName val="Delhi"/>
      <sheetName val="Gujarat"/>
      <sheetName val="Haryana"/>
      <sheetName val="HP"/>
      <sheetName val="Kerala"/>
      <sheetName val="Kk"/>
      <sheetName val="Kolkata"/>
      <sheetName val="Maharashtra"/>
      <sheetName val="MP"/>
      <sheetName val="Mumbai"/>
      <sheetName val="Punjab"/>
      <sheetName val="TN"/>
      <sheetName val="UPWest"/>
      <sheetName val="산출기준(파견전산실)"/>
      <sheetName val="Variables"/>
      <sheetName val="DLC_lookups1"/>
      <sheetName val="Capex_&amp;_Opex1"/>
      <sheetName val="L_L_Rates"/>
      <sheetName val="Component_Pricing,_Costs"/>
      <sheetName val="CTbe tong"/>
      <sheetName val="CTDZ 0.4+cto"/>
      <sheetName val="detail'02"/>
      <sheetName val="MTO REV.0"/>
      <sheetName val="Locked"/>
      <sheetName val="InputVariables"/>
      <sheetName val="BCL-Barclays"/>
      <sheetName val="Calcs"/>
      <sheetName val="TB"/>
      <sheetName val="All_Data"/>
      <sheetName val="Op_3"/>
      <sheetName val="ROI_Summ3"/>
      <sheetName val="Indirect_expenses3"/>
      <sheetName val="Switch_V163"/>
      <sheetName val="Total_Haryana_POs_AMC_Sheet_3%3"/>
      <sheetName val="delhi_03-04AMC_@_3%3"/>
      <sheetName val="SCEL_Funding3"/>
      <sheetName val="LA-_lookups3"/>
      <sheetName val="Other_assumptions3"/>
      <sheetName val="factor_sheet2"/>
      <sheetName val="SPS_DETAIL2"/>
      <sheetName val="Network_Summary2"/>
      <sheetName val="Opex_Business_Plan_Y1-Y5_140902"/>
      <sheetName val="Rabo-150_crs1"/>
      <sheetName val="Rabo-125_Crs1"/>
      <sheetName val="BCL-HDFC_Bank-20_crs_8%1"/>
      <sheetName val="BIL-IL&amp;FS-50_Cr1"/>
      <sheetName val="BTVL-IL&amp;FS-50_Cr1"/>
      <sheetName val="Comm_Paper1"/>
      <sheetName val="PTE_COST_"/>
      <sheetName val="Cabinet_details"/>
      <sheetName val="DLC_lookups2"/>
      <sheetName val="Capex_&amp;_Opex2"/>
      <sheetName val="L_L_Rates1"/>
      <sheetName val="Component_Pricing,_Costs1"/>
      <sheetName val="CTbe_tong"/>
      <sheetName val="CTDZ_0_4+cto"/>
      <sheetName val="Capex_-_summary"/>
      <sheetName val="Mega Caps"/>
      <sheetName val="Op_4"/>
      <sheetName val="ROI_Summ4"/>
      <sheetName val="Indirect_expenses4"/>
      <sheetName val="Switch_V164"/>
      <sheetName val="Total_Haryana_POs_AMC_Sheet_3%4"/>
      <sheetName val="delhi_03-04AMC_@_3%4"/>
      <sheetName val="SCEL_Funding4"/>
      <sheetName val="LA-_lookups4"/>
      <sheetName val="Other_assumptions4"/>
      <sheetName val="factor_sheet3"/>
      <sheetName val="SPS_DETAIL3"/>
      <sheetName val="Network_Summary3"/>
      <sheetName val="Opex_Business_Plan_Y1-Y5_140903"/>
      <sheetName val="Rabo-150_crs2"/>
      <sheetName val="Rabo-125_Crs2"/>
      <sheetName val="BCL-HDFC_Bank-20_crs_8%2"/>
      <sheetName val="BIL-IL&amp;FS-50_Cr2"/>
      <sheetName val="BTVL-IL&amp;FS-50_Cr2"/>
      <sheetName val="Comm_Paper2"/>
      <sheetName val="PTE_COST_1"/>
      <sheetName val="Cabinet_details1"/>
      <sheetName val="DLC_lookups3"/>
      <sheetName val="Capex_&amp;_Opex3"/>
      <sheetName val="L_L_Rates2"/>
      <sheetName val="Component_Pricing,_Costs2"/>
      <sheetName val="CTbe_tong1"/>
      <sheetName val="CTDZ_0_4+cto1"/>
      <sheetName val="Capex_-_summary1"/>
      <sheetName val="MTO_REV_0"/>
      <sheetName val="Op_5"/>
      <sheetName val="ROI_Summ5"/>
      <sheetName val="Indirect_expenses5"/>
      <sheetName val="Switch_V165"/>
      <sheetName val="Total_Haryana_POs_AMC_Sheet_3%5"/>
      <sheetName val="delhi_03-04AMC_@_3%5"/>
      <sheetName val="SCEL_Funding5"/>
      <sheetName val="LA-_lookups5"/>
      <sheetName val="Other_assumptions5"/>
      <sheetName val="factor_sheet4"/>
      <sheetName val="SPS_DETAIL4"/>
      <sheetName val="Network_Summary4"/>
      <sheetName val="Opex_Business_Plan_Y1-Y5_140904"/>
      <sheetName val="Rabo-150_crs3"/>
      <sheetName val="Rabo-125_Crs3"/>
      <sheetName val="BCL-HDFC_Bank-20_crs_8%3"/>
      <sheetName val="BIL-IL&amp;FS-50_Cr3"/>
      <sheetName val="BTVL-IL&amp;FS-50_Cr3"/>
      <sheetName val="Comm_Paper3"/>
      <sheetName val="PTE_COST_2"/>
      <sheetName val="Cabinet_details2"/>
      <sheetName val="DLC_lookups4"/>
      <sheetName val="Capex_&amp;_Opex4"/>
      <sheetName val="L_L_Rates3"/>
      <sheetName val="Component_Pricing,_Costs3"/>
      <sheetName val="CTbe_tong2"/>
      <sheetName val="CTDZ_0_4+cto2"/>
      <sheetName val="Capex_-_summary2"/>
      <sheetName val="MTO_REV_01"/>
      <sheetName val="Mega_Caps"/>
      <sheetName val="Town wise Graph"/>
      <sheetName val="MTO_REV_02"/>
      <sheetName val="Town_wise_Graph"/>
      <sheetName val="Funding&amp;Dilution"/>
      <sheetName val="Basic Assumptions"/>
      <sheetName val="Phasing"/>
      <sheetName val="Division by business"/>
      <sheetName val="Other Operating Expenses "/>
      <sheetName val="FD'S DETAILS &amp; INTEREST THERE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34">
          <cell r="D234">
            <v>1000000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R5"/>
  <sheetViews>
    <sheetView workbookViewId="0">
      <selection activeCell="C4" sqref="C4"/>
    </sheetView>
  </sheetViews>
  <sheetFormatPr defaultRowHeight="15"/>
  <cols>
    <col min="12" max="12" width="9.5703125" bestFit="1" customWidth="1"/>
  </cols>
  <sheetData>
    <row r="2" spans="1:44" ht="15.75" thickBot="1">
      <c r="N2" s="91" t="s">
        <v>24</v>
      </c>
      <c r="O2" s="92"/>
      <c r="P2" s="92"/>
      <c r="Q2" s="92"/>
      <c r="R2" s="93"/>
    </row>
    <row r="3" spans="1:44" ht="48.75" thickTop="1">
      <c r="B3" s="8" t="s">
        <v>14</v>
      </c>
      <c r="C3" s="8" t="s">
        <v>15</v>
      </c>
      <c r="D3" s="8" t="s">
        <v>22</v>
      </c>
      <c r="E3" s="8" t="s">
        <v>5</v>
      </c>
      <c r="F3" s="8" t="s">
        <v>25</v>
      </c>
      <c r="G3" s="8" t="s">
        <v>26</v>
      </c>
      <c r="H3" s="8" t="s">
        <v>27</v>
      </c>
      <c r="I3" s="8" t="s">
        <v>28</v>
      </c>
      <c r="J3" s="8" t="s">
        <v>23</v>
      </c>
      <c r="K3" s="8" t="s">
        <v>29</v>
      </c>
      <c r="L3" s="8" t="s">
        <v>30</v>
      </c>
      <c r="M3" s="8" t="s">
        <v>31</v>
      </c>
      <c r="N3" s="9" t="s">
        <v>32</v>
      </c>
      <c r="O3" s="9" t="s">
        <v>33</v>
      </c>
      <c r="P3" s="9" t="s">
        <v>34</v>
      </c>
      <c r="Q3" s="9" t="s">
        <v>35</v>
      </c>
      <c r="R3" s="9" t="s">
        <v>36</v>
      </c>
      <c r="S3" s="6" t="s">
        <v>37</v>
      </c>
      <c r="T3" s="6" t="s">
        <v>38</v>
      </c>
      <c r="U3" s="6" t="s">
        <v>39</v>
      </c>
      <c r="V3" s="5" t="s">
        <v>40</v>
      </c>
      <c r="W3" s="10" t="s">
        <v>16</v>
      </c>
      <c r="X3" s="10" t="s">
        <v>17</v>
      </c>
      <c r="Y3" s="10" t="s">
        <v>18</v>
      </c>
      <c r="Z3" s="11" t="s">
        <v>41</v>
      </c>
      <c r="AA3" s="12" t="s">
        <v>42</v>
      </c>
      <c r="AB3" s="12" t="s">
        <v>43</v>
      </c>
      <c r="AC3" s="12" t="s">
        <v>44</v>
      </c>
      <c r="AD3" s="12" t="s">
        <v>45</v>
      </c>
      <c r="AE3" s="12" t="s">
        <v>46</v>
      </c>
      <c r="AF3" s="12" t="s">
        <v>47</v>
      </c>
      <c r="AG3" s="12" t="s">
        <v>48</v>
      </c>
      <c r="AH3" s="12" t="s">
        <v>49</v>
      </c>
      <c r="AI3" s="13" t="s">
        <v>50</v>
      </c>
      <c r="AJ3" s="12" t="s">
        <v>51</v>
      </c>
      <c r="AK3" s="12" t="s">
        <v>10</v>
      </c>
      <c r="AL3" s="14" t="s">
        <v>19</v>
      </c>
      <c r="AM3" s="14" t="s">
        <v>52</v>
      </c>
      <c r="AN3" s="14" t="s">
        <v>20</v>
      </c>
      <c r="AO3" s="15" t="s">
        <v>53</v>
      </c>
      <c r="AP3" s="7" t="s">
        <v>21</v>
      </c>
      <c r="AQ3" s="7" t="s">
        <v>54</v>
      </c>
      <c r="AR3" s="16" t="s">
        <v>55</v>
      </c>
    </row>
    <row r="4" spans="1:44">
      <c r="A4" t="s">
        <v>56</v>
      </c>
      <c r="B4" s="17" t="s">
        <v>0</v>
      </c>
      <c r="C4" s="17" t="e">
        <f>#REF!</f>
        <v>#REF!</v>
      </c>
      <c r="D4" s="18" t="e">
        <f>#REF!</f>
        <v>#REF!</v>
      </c>
      <c r="E4" s="17"/>
      <c r="F4" s="17"/>
      <c r="G4" s="17"/>
      <c r="H4" s="19" t="e">
        <f>G4/E4</f>
        <v>#DIV/0!</v>
      </c>
      <c r="I4" s="20" t="e">
        <f>IF(A4="FB",ROUNDUP(L4/70%,0),L4)</f>
        <v>#REF!</v>
      </c>
      <c r="J4" s="20" t="e">
        <f>SUMIFS(#REF!,#REF!,"NR")</f>
        <v>#REF!</v>
      </c>
      <c r="K4" s="20" t="e">
        <f>SUMIFS(#REF!,#REF!,"MRQ")</f>
        <v>#REF!</v>
      </c>
      <c r="L4" s="20" t="e">
        <f>#REF!</f>
        <v>#REF!</v>
      </c>
      <c r="M4" s="20" t="s">
        <v>29</v>
      </c>
      <c r="N4" s="20">
        <f>'Cover Sheet'!J186</f>
        <v>0</v>
      </c>
      <c r="O4" s="20">
        <f>'Cover Sheet'!C186/10^6</f>
        <v>0</v>
      </c>
      <c r="P4" s="20">
        <f>'Cover Sheet'!E186/10^6</f>
        <v>0</v>
      </c>
      <c r="Q4" s="20">
        <f>'Cover Sheet'!D186/10^6</f>
        <v>0</v>
      </c>
      <c r="R4" s="20">
        <f>Q4+O4+P4</f>
        <v>0</v>
      </c>
      <c r="S4" s="20" t="e">
        <f>T4+U4</f>
        <v>#REF!</v>
      </c>
      <c r="T4" s="20" t="e">
        <f>#REF!+#REF!+#REF!+#REF!</f>
        <v>#REF!</v>
      </c>
      <c r="U4" s="20" t="e">
        <f>IF(#REF!&gt;0,#REF!,0)</f>
        <v>#REF!</v>
      </c>
      <c r="V4" s="20" t="e">
        <f>#REF!</f>
        <v>#REF!</v>
      </c>
      <c r="W4" s="20" t="e">
        <f>IF(#REF!&gt;0,SUM(#REF!,#REF!,#REF!,#REF!,#REF!),'Cover Sheet'!C184)/10^6</f>
        <v>#REF!</v>
      </c>
      <c r="X4" s="20">
        <f>'Cover Sheet'!E184/10^6</f>
        <v>0</v>
      </c>
      <c r="Y4" s="20" t="e">
        <f>IF(U4&gt;0,SUM(#REF!,#REF!,#REF!,#REF!,#REF!,#REF!,#REF!),'Cover Sheet'!D184)/10^6</f>
        <v>#REF!</v>
      </c>
      <c r="Z4" s="20" t="e">
        <f>+SUM(W4:Y4)</f>
        <v>#REF!</v>
      </c>
      <c r="AA4" s="20" t="e">
        <f>ROUNDUP(#REF!,0)</f>
        <v>#REF!</v>
      </c>
      <c r="AB4" s="20" t="e">
        <f>ROUNDUP(AA4*70%,)</f>
        <v>#REF!</v>
      </c>
      <c r="AC4" s="20" t="e">
        <f>#REF!</f>
        <v>#REF!</v>
      </c>
      <c r="AD4" s="20" t="e">
        <f>#REF!/10^6</f>
        <v>#REF!</v>
      </c>
      <c r="AE4" s="20" t="e">
        <f>#REF!/10^6</f>
        <v>#REF!</v>
      </c>
      <c r="AF4" s="20" t="e">
        <f>IF(U4&gt;0,SUM(#REF!),0)/10^6</f>
        <v>#REF!</v>
      </c>
      <c r="AG4" s="20" t="e">
        <f>#REF!/10^6</f>
        <v>#REF!</v>
      </c>
      <c r="AH4" s="20" t="e">
        <f>IF(U4&gt;0,#REF!,0)/10^6</f>
        <v>#REF!</v>
      </c>
      <c r="AI4" s="20" t="e">
        <f>AB4*150/10^6</f>
        <v>#REF!</v>
      </c>
      <c r="AJ4" s="20" t="e">
        <f>AD4+AE4+AF4+AG4+AH4</f>
        <v>#REF!</v>
      </c>
      <c r="AK4" s="20">
        <f>'Cover Sheet'!F185/10^6</f>
        <v>0</v>
      </c>
      <c r="AL4" s="21">
        <f>'Cover Sheet'!F188/10^6</f>
        <v>0</v>
      </c>
      <c r="AM4" s="21">
        <f>'Cover Sheet'!F187/10^6</f>
        <v>0</v>
      </c>
      <c r="AN4" s="21">
        <f>'Cover Sheet'!F189/10^6</f>
        <v>0</v>
      </c>
      <c r="AO4" s="21" t="e">
        <f>R4+Z4+AJ4+AK4+AM4+AL4+AN4</f>
        <v>#REF!</v>
      </c>
      <c r="AP4" s="21" t="e">
        <f>AO4/L4*10^6</f>
        <v>#REF!</v>
      </c>
      <c r="AQ4" s="21" t="e">
        <f>IF(AP4&lt;=2800,"&lt;=2800",IF(AP4&lt;=4000,"2800-4000","&gt;4000"))</f>
        <v>#REF!</v>
      </c>
      <c r="AR4" s="22" t="s">
        <v>57</v>
      </c>
    </row>
    <row r="5" spans="1:44">
      <c r="B5" s="17"/>
      <c r="C5" s="17"/>
      <c r="D5" s="18"/>
      <c r="E5" s="17"/>
      <c r="F5" s="17"/>
      <c r="G5" s="17"/>
      <c r="H5" s="19"/>
      <c r="I5" s="20"/>
      <c r="J5" s="20"/>
      <c r="K5" s="20"/>
      <c r="L5" s="20" t="e">
        <f>L4</f>
        <v>#REF!</v>
      </c>
      <c r="M5" s="20"/>
      <c r="N5" s="20">
        <f>N4*1000</f>
        <v>0</v>
      </c>
      <c r="O5" s="20">
        <f>O4*10^6</f>
        <v>0</v>
      </c>
      <c r="P5" s="20">
        <f>P4*10^6</f>
        <v>0</v>
      </c>
      <c r="Q5" s="20">
        <f>Q4*10^6</f>
        <v>0</v>
      </c>
      <c r="R5" s="20">
        <f>R4*10^6</f>
        <v>0</v>
      </c>
      <c r="S5" s="20" t="e">
        <f>S4*1000</f>
        <v>#REF!</v>
      </c>
      <c r="T5" s="20" t="e">
        <f>T4*1000</f>
        <v>#REF!</v>
      </c>
      <c r="U5" s="20" t="e">
        <f>U4*1000</f>
        <v>#REF!</v>
      </c>
      <c r="V5" s="20" t="e">
        <f>V4*1000</f>
        <v>#REF!</v>
      </c>
      <c r="W5" s="20" t="e">
        <f>W4*10^6</f>
        <v>#REF!</v>
      </c>
      <c r="X5" s="20">
        <f>X4*10^6</f>
        <v>0</v>
      </c>
      <c r="Y5" s="20" t="e">
        <f>Y4*10^6</f>
        <v>#REF!</v>
      </c>
      <c r="Z5" s="20" t="e">
        <f>Z4*10^6</f>
        <v>#REF!</v>
      </c>
      <c r="AA5" s="20" t="e">
        <f>AA4</f>
        <v>#REF!</v>
      </c>
      <c r="AB5" s="20" t="e">
        <f>AB4</f>
        <v>#REF!</v>
      </c>
      <c r="AC5" s="20" t="e">
        <f>AC4</f>
        <v>#REF!</v>
      </c>
      <c r="AD5" s="20" t="e">
        <f t="shared" ref="AD5:AO5" si="0">AD4*10^6</f>
        <v>#REF!</v>
      </c>
      <c r="AE5" s="20" t="e">
        <f t="shared" si="0"/>
        <v>#REF!</v>
      </c>
      <c r="AF5" s="20" t="e">
        <f t="shared" si="0"/>
        <v>#REF!</v>
      </c>
      <c r="AG5" s="20" t="e">
        <f t="shared" si="0"/>
        <v>#REF!</v>
      </c>
      <c r="AH5" s="20" t="e">
        <f t="shared" si="0"/>
        <v>#REF!</v>
      </c>
      <c r="AI5" s="20"/>
      <c r="AJ5" s="20" t="e">
        <f t="shared" si="0"/>
        <v>#REF!</v>
      </c>
      <c r="AK5" s="20">
        <f t="shared" si="0"/>
        <v>0</v>
      </c>
      <c r="AL5" s="20">
        <f t="shared" si="0"/>
        <v>0</v>
      </c>
      <c r="AM5" s="20">
        <f t="shared" si="0"/>
        <v>0</v>
      </c>
      <c r="AN5" s="20">
        <f t="shared" si="0"/>
        <v>0</v>
      </c>
      <c r="AO5" s="20" t="e">
        <f t="shared" si="0"/>
        <v>#REF!</v>
      </c>
      <c r="AP5" s="21" t="e">
        <f>AO5/L5</f>
        <v>#REF!</v>
      </c>
      <c r="AQ5" s="21" t="e">
        <f>IF(AP5&lt;=2800,"&lt;=2800",IF(AP5&lt;=4000,"2800-4000","&gt;4000"))</f>
        <v>#REF!</v>
      </c>
      <c r="AR5" s="22"/>
    </row>
  </sheetData>
  <mergeCells count="1">
    <mergeCell ref="N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M190"/>
  <sheetViews>
    <sheetView showGridLines="0" tabSelected="1" zoomScale="55" zoomScaleNormal="55" workbookViewId="0">
      <selection activeCell="B12" sqref="B12"/>
    </sheetView>
  </sheetViews>
  <sheetFormatPr defaultColWidth="7.85546875" defaultRowHeight="24.95" customHeight="1"/>
  <cols>
    <col min="1" max="1" width="2.7109375" style="33" customWidth="1"/>
    <col min="2" max="2" width="27" style="33" customWidth="1"/>
    <col min="3" max="3" width="22.7109375" style="33" customWidth="1"/>
    <col min="4" max="4" width="16.7109375" style="33" bestFit="1" customWidth="1"/>
    <col min="5" max="5" width="34.5703125" style="33" customWidth="1"/>
    <col min="6" max="6" width="17.85546875" style="33" bestFit="1" customWidth="1"/>
    <col min="7" max="7" width="14.42578125" style="33" bestFit="1" customWidth="1"/>
    <col min="8" max="8" width="19.28515625" style="33" bestFit="1" customWidth="1"/>
    <col min="9" max="10" width="14.7109375" style="33" customWidth="1"/>
    <col min="11" max="16384" width="7.85546875" style="33"/>
  </cols>
  <sheetData>
    <row r="1" spans="2:13" ht="24.95" customHeight="1">
      <c r="B1" s="51"/>
      <c r="C1" s="52"/>
      <c r="D1" s="52"/>
      <c r="E1" s="52"/>
      <c r="F1" s="52"/>
      <c r="G1" s="52"/>
      <c r="H1" s="52"/>
      <c r="I1" s="52"/>
      <c r="J1" s="53"/>
    </row>
    <row r="2" spans="2:13" ht="20.25" customHeight="1">
      <c r="B2" s="107" t="s">
        <v>1</v>
      </c>
      <c r="C2" s="108"/>
      <c r="D2" s="108"/>
      <c r="E2" s="108"/>
      <c r="F2" s="108"/>
      <c r="G2" s="108"/>
      <c r="H2" s="108"/>
      <c r="I2" s="108"/>
      <c r="J2" s="109"/>
    </row>
    <row r="3" spans="2:13" ht="12" customHeight="1">
      <c r="B3" s="54"/>
      <c r="C3" s="108"/>
      <c r="D3" s="108"/>
      <c r="E3" s="108"/>
      <c r="F3" s="108"/>
      <c r="G3" s="108"/>
      <c r="H3" s="108"/>
      <c r="I3" s="108"/>
      <c r="J3" s="55"/>
    </row>
    <row r="4" spans="2:13" ht="24.95" customHeight="1" thickBot="1">
      <c r="B4" s="110" t="s">
        <v>2</v>
      </c>
      <c r="C4" s="111"/>
      <c r="D4" s="111"/>
      <c r="E4" s="111"/>
      <c r="F4" s="111"/>
      <c r="G4" s="111"/>
      <c r="H4" s="111"/>
      <c r="I4" s="111"/>
      <c r="J4" s="112"/>
    </row>
    <row r="5" spans="2:13" ht="24.95" customHeight="1">
      <c r="B5" s="113"/>
      <c r="C5" s="114"/>
      <c r="D5" s="114"/>
      <c r="E5" s="114"/>
      <c r="F5" s="114"/>
      <c r="G5" s="114"/>
      <c r="H5" s="114"/>
      <c r="I5" s="114"/>
      <c r="J5" s="115"/>
    </row>
    <row r="6" spans="2:13" ht="24.95" customHeight="1">
      <c r="B6" s="116"/>
      <c r="C6" s="117"/>
      <c r="D6" s="117"/>
      <c r="E6" s="117"/>
      <c r="F6" s="117"/>
      <c r="G6" s="117"/>
      <c r="H6" s="117"/>
      <c r="I6" s="117"/>
      <c r="J6" s="118"/>
    </row>
    <row r="7" spans="2:13" ht="24.95" customHeight="1">
      <c r="B7" s="116"/>
      <c r="C7" s="117"/>
      <c r="D7" s="117"/>
      <c r="E7" s="117"/>
      <c r="F7" s="117"/>
      <c r="G7" s="117"/>
      <c r="H7" s="117"/>
      <c r="I7" s="117"/>
      <c r="J7" s="118"/>
      <c r="M7" s="56" t="s">
        <v>61</v>
      </c>
    </row>
    <row r="8" spans="2:13" ht="50.1" customHeight="1">
      <c r="B8" s="116"/>
      <c r="C8" s="117"/>
      <c r="D8" s="117"/>
      <c r="E8" s="117"/>
      <c r="F8" s="117"/>
      <c r="G8" s="117"/>
      <c r="H8" s="117"/>
      <c r="I8" s="117"/>
      <c r="J8" s="118"/>
    </row>
    <row r="9" spans="2:13" ht="50.1" customHeight="1" thickBot="1">
      <c r="B9" s="119"/>
      <c r="C9" s="120"/>
      <c r="D9" s="120"/>
      <c r="E9" s="120"/>
      <c r="F9" s="120"/>
      <c r="G9" s="120"/>
      <c r="H9" s="120"/>
      <c r="I9" s="120"/>
      <c r="J9" s="121"/>
    </row>
    <row r="10" spans="2:13" s="34" customFormat="1" ht="36">
      <c r="B10" s="1" t="s">
        <v>4</v>
      </c>
      <c r="C10" s="30" t="s">
        <v>3</v>
      </c>
      <c r="D10" s="31" t="s">
        <v>9</v>
      </c>
      <c r="E10" s="32" t="s">
        <v>8</v>
      </c>
      <c r="F10" s="2" t="s">
        <v>6</v>
      </c>
      <c r="G10" s="3" t="s">
        <v>7</v>
      </c>
      <c r="H10" s="3" t="s">
        <v>58</v>
      </c>
      <c r="I10" s="28" t="s">
        <v>11</v>
      </c>
      <c r="J10" s="29" t="s">
        <v>12</v>
      </c>
    </row>
    <row r="11" spans="2:13" s="34" customFormat="1" ht="18.75" customHeight="1">
      <c r="B11" s="57" t="s">
        <v>59</v>
      </c>
      <c r="C11" s="101" t="s">
        <v>60</v>
      </c>
      <c r="D11" s="102"/>
      <c r="E11" s="103"/>
      <c r="F11" s="2">
        <v>0</v>
      </c>
      <c r="G11" s="3">
        <v>0</v>
      </c>
      <c r="H11" s="3">
        <v>0</v>
      </c>
      <c r="I11" s="2">
        <v>0</v>
      </c>
      <c r="J11" s="4">
        <v>0</v>
      </c>
    </row>
    <row r="12" spans="2:13" s="34" customFormat="1" ht="18.75" customHeight="1">
      <c r="B12" s="57"/>
      <c r="C12" s="101"/>
      <c r="D12" s="102"/>
      <c r="E12" s="103"/>
      <c r="F12" s="2"/>
      <c r="G12" s="3"/>
      <c r="H12" s="3"/>
      <c r="I12" s="2"/>
      <c r="J12" s="4" t="s">
        <v>62</v>
      </c>
    </row>
    <row r="13" spans="2:13" s="34" customFormat="1" ht="18.75" customHeight="1">
      <c r="B13" s="57"/>
      <c r="C13" s="101"/>
      <c r="D13" s="102"/>
      <c r="E13" s="103"/>
      <c r="F13" s="2"/>
      <c r="G13" s="3"/>
      <c r="H13" s="3"/>
      <c r="I13" s="2"/>
      <c r="J13" s="4"/>
    </row>
    <row r="14" spans="2:13" s="34" customFormat="1" ht="18.75" customHeight="1">
      <c r="B14" s="57"/>
      <c r="C14" s="101"/>
      <c r="D14" s="102"/>
      <c r="E14" s="103"/>
      <c r="F14" s="2"/>
      <c r="G14" s="3"/>
      <c r="H14" s="3"/>
      <c r="I14" s="2"/>
      <c r="J14" s="4"/>
    </row>
    <row r="15" spans="2:13" s="34" customFormat="1" ht="18.75" customHeight="1">
      <c r="B15" s="57"/>
      <c r="C15" s="101"/>
      <c r="D15" s="102"/>
      <c r="E15" s="103"/>
      <c r="F15" s="2"/>
      <c r="G15" s="3"/>
      <c r="H15" s="3"/>
      <c r="I15" s="2"/>
      <c r="J15" s="4"/>
    </row>
    <row r="16" spans="2:13" s="34" customFormat="1" ht="18.75" customHeight="1">
      <c r="B16" s="57"/>
      <c r="C16" s="101"/>
      <c r="D16" s="102"/>
      <c r="E16" s="103"/>
      <c r="F16" s="2"/>
      <c r="G16" s="3"/>
      <c r="H16" s="3"/>
      <c r="I16" s="2"/>
      <c r="J16" s="4"/>
    </row>
    <row r="17" spans="2:10" s="34" customFormat="1" ht="18.75" customHeight="1">
      <c r="B17" s="57"/>
      <c r="C17" s="101"/>
      <c r="D17" s="102"/>
      <c r="E17" s="103"/>
      <c r="F17" s="2"/>
      <c r="G17" s="3"/>
      <c r="H17" s="3"/>
      <c r="I17" s="2"/>
      <c r="J17" s="4"/>
    </row>
    <row r="18" spans="2:10" s="34" customFormat="1" ht="18.75" customHeight="1">
      <c r="B18" s="57"/>
      <c r="C18" s="101"/>
      <c r="D18" s="102"/>
      <c r="E18" s="103"/>
      <c r="F18" s="2"/>
      <c r="G18" s="3"/>
      <c r="H18" s="3"/>
      <c r="I18" s="2"/>
      <c r="J18" s="4"/>
    </row>
    <row r="19" spans="2:10" s="34" customFormat="1" ht="18.75" customHeight="1">
      <c r="B19" s="57"/>
      <c r="C19" s="101"/>
      <c r="D19" s="102"/>
      <c r="E19" s="103"/>
      <c r="F19" s="2"/>
      <c r="G19" s="3"/>
      <c r="H19" s="3"/>
      <c r="I19" s="2"/>
      <c r="J19" s="4"/>
    </row>
    <row r="20" spans="2:10" s="34" customFormat="1" ht="18.75" customHeight="1">
      <c r="B20" s="57"/>
      <c r="C20" s="101"/>
      <c r="D20" s="102"/>
      <c r="E20" s="103"/>
      <c r="F20" s="2"/>
      <c r="G20" s="3"/>
      <c r="H20" s="3"/>
      <c r="I20" s="2"/>
      <c r="J20" s="4"/>
    </row>
    <row r="21" spans="2:10" s="34" customFormat="1" ht="18.75" customHeight="1">
      <c r="B21" s="57"/>
      <c r="C21" s="101"/>
      <c r="D21" s="102"/>
      <c r="E21" s="103"/>
      <c r="F21" s="2"/>
      <c r="G21" s="3"/>
      <c r="H21" s="3"/>
      <c r="I21" s="2"/>
      <c r="J21" s="4"/>
    </row>
    <row r="22" spans="2:10" s="34" customFormat="1" ht="18.75" customHeight="1">
      <c r="B22" s="57"/>
      <c r="C22" s="101"/>
      <c r="D22" s="102"/>
      <c r="E22" s="103"/>
      <c r="F22" s="2"/>
      <c r="G22" s="3"/>
      <c r="H22" s="3"/>
      <c r="I22" s="2"/>
      <c r="J22" s="4"/>
    </row>
    <row r="23" spans="2:10" s="34" customFormat="1" ht="18.75" customHeight="1">
      <c r="B23" s="57"/>
      <c r="C23" s="101"/>
      <c r="D23" s="102"/>
      <c r="E23" s="103"/>
      <c r="F23" s="2"/>
      <c r="G23" s="3"/>
      <c r="H23" s="3"/>
      <c r="I23" s="2"/>
      <c r="J23" s="4"/>
    </row>
    <row r="24" spans="2:10" s="34" customFormat="1" ht="18.75" customHeight="1">
      <c r="B24" s="57"/>
      <c r="C24" s="101"/>
      <c r="D24" s="102"/>
      <c r="E24" s="103"/>
      <c r="F24" s="2"/>
      <c r="G24" s="3"/>
      <c r="H24" s="3"/>
      <c r="I24" s="2"/>
      <c r="J24" s="4"/>
    </row>
    <row r="25" spans="2:10" s="34" customFormat="1" ht="18.75" customHeight="1">
      <c r="B25" s="57"/>
      <c r="C25" s="101"/>
      <c r="D25" s="102"/>
      <c r="E25" s="103"/>
      <c r="F25" s="2"/>
      <c r="G25" s="3"/>
      <c r="H25" s="3"/>
      <c r="I25" s="2"/>
      <c r="J25" s="4"/>
    </row>
    <row r="26" spans="2:10" s="34" customFormat="1" ht="18.75" customHeight="1">
      <c r="B26" s="57"/>
      <c r="C26" s="101"/>
      <c r="D26" s="102"/>
      <c r="E26" s="103"/>
      <c r="F26" s="2"/>
      <c r="G26" s="3"/>
      <c r="H26" s="3"/>
      <c r="I26" s="2"/>
      <c r="J26" s="4"/>
    </row>
    <row r="27" spans="2:10" s="34" customFormat="1" ht="18.75" customHeight="1">
      <c r="B27" s="57"/>
      <c r="C27" s="101"/>
      <c r="D27" s="102"/>
      <c r="E27" s="103"/>
      <c r="F27" s="2"/>
      <c r="G27" s="3"/>
      <c r="H27" s="3"/>
      <c r="I27" s="2"/>
      <c r="J27" s="4"/>
    </row>
    <row r="28" spans="2:10" s="34" customFormat="1" ht="18.75" customHeight="1">
      <c r="B28" s="57"/>
      <c r="C28" s="101"/>
      <c r="D28" s="102"/>
      <c r="E28" s="103"/>
      <c r="F28" s="2"/>
      <c r="G28" s="3"/>
      <c r="H28" s="3"/>
      <c r="I28" s="2"/>
      <c r="J28" s="4"/>
    </row>
    <row r="29" spans="2:10" s="34" customFormat="1" ht="18.75" customHeight="1">
      <c r="B29" s="57"/>
      <c r="C29" s="101"/>
      <c r="D29" s="102"/>
      <c r="E29" s="103"/>
      <c r="F29" s="2"/>
      <c r="G29" s="3"/>
      <c r="H29" s="3"/>
      <c r="I29" s="2"/>
      <c r="J29" s="4"/>
    </row>
    <row r="30" spans="2:10" s="34" customFormat="1" ht="18.75" customHeight="1">
      <c r="B30" s="57"/>
      <c r="C30" s="101"/>
      <c r="D30" s="102"/>
      <c r="E30" s="103"/>
      <c r="F30" s="2"/>
      <c r="G30" s="3"/>
      <c r="H30" s="3"/>
      <c r="I30" s="2"/>
      <c r="J30" s="4"/>
    </row>
    <row r="31" spans="2:10" s="34" customFormat="1" ht="18.75" customHeight="1">
      <c r="B31" s="57"/>
      <c r="C31" s="101"/>
      <c r="D31" s="102"/>
      <c r="E31" s="103"/>
      <c r="F31" s="2"/>
      <c r="G31" s="3"/>
      <c r="H31" s="3"/>
      <c r="I31" s="2"/>
      <c r="J31" s="4"/>
    </row>
    <row r="32" spans="2:10" s="34" customFormat="1" ht="18.75" customHeight="1">
      <c r="B32" s="57"/>
      <c r="C32" s="101"/>
      <c r="D32" s="102"/>
      <c r="E32" s="103"/>
      <c r="F32" s="2"/>
      <c r="G32" s="3"/>
      <c r="H32" s="3"/>
      <c r="I32" s="2"/>
      <c r="J32" s="4"/>
    </row>
    <row r="33" spans="2:10" s="34" customFormat="1" ht="18.75" customHeight="1">
      <c r="B33" s="57"/>
      <c r="C33" s="101"/>
      <c r="D33" s="102"/>
      <c r="E33" s="103"/>
      <c r="F33" s="2"/>
      <c r="G33" s="3"/>
      <c r="H33" s="3"/>
      <c r="I33" s="2"/>
      <c r="J33" s="4"/>
    </row>
    <row r="34" spans="2:10" s="34" customFormat="1" ht="18.75" customHeight="1">
      <c r="B34" s="57"/>
      <c r="C34" s="101"/>
      <c r="D34" s="102"/>
      <c r="E34" s="103"/>
      <c r="F34" s="2"/>
      <c r="G34" s="3"/>
      <c r="H34" s="3"/>
      <c r="I34" s="2"/>
      <c r="J34" s="4"/>
    </row>
    <row r="35" spans="2:10" s="34" customFormat="1" ht="18.75" customHeight="1">
      <c r="B35" s="57"/>
      <c r="C35" s="101"/>
      <c r="D35" s="102"/>
      <c r="E35" s="103"/>
      <c r="F35" s="2"/>
      <c r="G35" s="3"/>
      <c r="H35" s="3"/>
      <c r="I35" s="2"/>
      <c r="J35" s="4"/>
    </row>
    <row r="36" spans="2:10" s="34" customFormat="1" ht="18.75" customHeight="1">
      <c r="B36" s="57"/>
      <c r="C36" s="101"/>
      <c r="D36" s="102"/>
      <c r="E36" s="103"/>
      <c r="F36" s="2"/>
      <c r="G36" s="3"/>
      <c r="H36" s="3"/>
      <c r="I36" s="2"/>
      <c r="J36" s="4"/>
    </row>
    <row r="37" spans="2:10" s="34" customFormat="1" ht="18.75" customHeight="1">
      <c r="B37" s="57"/>
      <c r="C37" s="101"/>
      <c r="D37" s="102"/>
      <c r="E37" s="103"/>
      <c r="F37" s="2"/>
      <c r="G37" s="3"/>
      <c r="H37" s="3"/>
      <c r="I37" s="2"/>
      <c r="J37" s="4"/>
    </row>
    <row r="38" spans="2:10" s="34" customFormat="1" ht="18.75" customHeight="1">
      <c r="B38" s="57"/>
      <c r="C38" s="101"/>
      <c r="D38" s="102"/>
      <c r="E38" s="103"/>
      <c r="F38" s="2"/>
      <c r="G38" s="3"/>
      <c r="H38" s="3"/>
      <c r="I38" s="2"/>
      <c r="J38" s="4"/>
    </row>
    <row r="39" spans="2:10" s="34" customFormat="1" ht="18.75" customHeight="1">
      <c r="B39" s="57"/>
      <c r="C39" s="101"/>
      <c r="D39" s="102"/>
      <c r="E39" s="103"/>
      <c r="F39" s="2"/>
      <c r="G39" s="3"/>
      <c r="H39" s="3"/>
      <c r="I39" s="2"/>
      <c r="J39" s="4"/>
    </row>
    <row r="40" spans="2:10" s="34" customFormat="1" ht="18.75" customHeight="1">
      <c r="B40" s="57"/>
      <c r="C40" s="101"/>
      <c r="D40" s="102"/>
      <c r="E40" s="103"/>
      <c r="F40" s="2"/>
      <c r="G40" s="3"/>
      <c r="H40" s="3"/>
      <c r="I40" s="2"/>
      <c r="J40" s="4"/>
    </row>
    <row r="41" spans="2:10" s="34" customFormat="1" ht="18.75" customHeight="1">
      <c r="B41" s="57"/>
      <c r="C41" s="101"/>
      <c r="D41" s="102"/>
      <c r="E41" s="103"/>
      <c r="F41" s="2"/>
      <c r="G41" s="3"/>
      <c r="H41" s="3"/>
      <c r="I41" s="2"/>
      <c r="J41" s="4"/>
    </row>
    <row r="42" spans="2:10" s="34" customFormat="1" ht="18.75" customHeight="1">
      <c r="B42" s="57"/>
      <c r="C42" s="101"/>
      <c r="D42" s="102"/>
      <c r="E42" s="103"/>
      <c r="F42" s="2"/>
      <c r="G42" s="3"/>
      <c r="H42" s="3"/>
      <c r="I42" s="2"/>
      <c r="J42" s="4"/>
    </row>
    <row r="43" spans="2:10" s="34" customFormat="1" ht="18.75" customHeight="1">
      <c r="B43" s="57"/>
      <c r="C43" s="101"/>
      <c r="D43" s="102"/>
      <c r="E43" s="103"/>
      <c r="F43" s="2"/>
      <c r="G43" s="3"/>
      <c r="H43" s="3"/>
      <c r="I43" s="2"/>
      <c r="J43" s="4"/>
    </row>
    <row r="44" spans="2:10" s="34" customFormat="1" ht="18.75" customHeight="1">
      <c r="B44" s="57"/>
      <c r="C44" s="101"/>
      <c r="D44" s="102"/>
      <c r="E44" s="103"/>
      <c r="F44" s="2"/>
      <c r="G44" s="3"/>
      <c r="H44" s="3"/>
      <c r="I44" s="2"/>
      <c r="J44" s="4"/>
    </row>
    <row r="45" spans="2:10" s="34" customFormat="1" ht="18.75" customHeight="1">
      <c r="B45" s="57"/>
      <c r="C45" s="101"/>
      <c r="D45" s="102"/>
      <c r="E45" s="103"/>
      <c r="F45" s="2"/>
      <c r="G45" s="3"/>
      <c r="H45" s="3"/>
      <c r="I45" s="2"/>
      <c r="J45" s="4"/>
    </row>
    <row r="46" spans="2:10" s="34" customFormat="1" ht="18.75" customHeight="1">
      <c r="B46" s="57"/>
      <c r="C46" s="101"/>
      <c r="D46" s="102"/>
      <c r="E46" s="103"/>
      <c r="F46" s="2"/>
      <c r="G46" s="3"/>
      <c r="H46" s="3"/>
      <c r="I46" s="2"/>
      <c r="J46" s="4"/>
    </row>
    <row r="47" spans="2:10" s="34" customFormat="1" ht="18.75" customHeight="1">
      <c r="B47" s="57"/>
      <c r="C47" s="101"/>
      <c r="D47" s="102"/>
      <c r="E47" s="103"/>
      <c r="F47" s="2"/>
      <c r="G47" s="3"/>
      <c r="H47" s="3"/>
      <c r="I47" s="2"/>
      <c r="J47" s="4"/>
    </row>
    <row r="48" spans="2:10" s="34" customFormat="1" ht="18.75" customHeight="1">
      <c r="B48" s="57"/>
      <c r="C48" s="101"/>
      <c r="D48" s="102"/>
      <c r="E48" s="103"/>
      <c r="F48" s="2"/>
      <c r="G48" s="3"/>
      <c r="H48" s="3"/>
      <c r="I48" s="2"/>
      <c r="J48" s="4"/>
    </row>
    <row r="49" spans="2:10" s="34" customFormat="1" ht="18.75" customHeight="1">
      <c r="B49" s="57"/>
      <c r="C49" s="101"/>
      <c r="D49" s="102"/>
      <c r="E49" s="103"/>
      <c r="F49" s="2"/>
      <c r="G49" s="3"/>
      <c r="H49" s="3"/>
      <c r="I49" s="2"/>
      <c r="J49" s="4"/>
    </row>
    <row r="50" spans="2:10" s="34" customFormat="1" ht="18.75" customHeight="1">
      <c r="B50" s="57"/>
      <c r="C50" s="101"/>
      <c r="D50" s="102"/>
      <c r="E50" s="103"/>
      <c r="F50" s="2"/>
      <c r="G50" s="3"/>
      <c r="H50" s="3"/>
      <c r="I50" s="2"/>
      <c r="J50" s="4"/>
    </row>
    <row r="51" spans="2:10" s="34" customFormat="1" ht="18.75" customHeight="1">
      <c r="B51" s="57"/>
      <c r="C51" s="101"/>
      <c r="D51" s="102"/>
      <c r="E51" s="103"/>
      <c r="F51" s="2"/>
      <c r="G51" s="3"/>
      <c r="H51" s="3"/>
      <c r="I51" s="2"/>
      <c r="J51" s="4"/>
    </row>
    <row r="52" spans="2:10" s="34" customFormat="1" ht="18.75" customHeight="1">
      <c r="B52" s="57"/>
      <c r="C52" s="101"/>
      <c r="D52" s="102"/>
      <c r="E52" s="103"/>
      <c r="F52" s="2"/>
      <c r="G52" s="3"/>
      <c r="H52" s="3"/>
      <c r="I52" s="2"/>
      <c r="J52" s="4"/>
    </row>
    <row r="53" spans="2:10" s="34" customFormat="1" ht="18.75" customHeight="1">
      <c r="B53" s="57"/>
      <c r="C53" s="101"/>
      <c r="D53" s="102"/>
      <c r="E53" s="103"/>
      <c r="F53" s="2"/>
      <c r="G53" s="3"/>
      <c r="H53" s="3"/>
      <c r="I53" s="2"/>
      <c r="J53" s="4"/>
    </row>
    <row r="54" spans="2:10" s="34" customFormat="1" ht="18.75" customHeight="1">
      <c r="B54" s="57"/>
      <c r="C54" s="101"/>
      <c r="D54" s="102"/>
      <c r="E54" s="103"/>
      <c r="F54" s="2"/>
      <c r="G54" s="3"/>
      <c r="H54" s="3"/>
      <c r="I54" s="2"/>
      <c r="J54" s="4"/>
    </row>
    <row r="55" spans="2:10" s="34" customFormat="1" ht="18.75" customHeight="1">
      <c r="B55" s="57"/>
      <c r="C55" s="101"/>
      <c r="D55" s="102"/>
      <c r="E55" s="103"/>
      <c r="F55" s="2"/>
      <c r="G55" s="3"/>
      <c r="H55" s="3"/>
      <c r="I55" s="2"/>
      <c r="J55" s="4"/>
    </row>
    <row r="56" spans="2:10" s="34" customFormat="1" ht="18.75" customHeight="1">
      <c r="B56" s="57"/>
      <c r="C56" s="101"/>
      <c r="D56" s="102"/>
      <c r="E56" s="103"/>
      <c r="F56" s="2"/>
      <c r="G56" s="3"/>
      <c r="H56" s="3"/>
      <c r="I56" s="2"/>
      <c r="J56" s="4"/>
    </row>
    <row r="57" spans="2:10" s="34" customFormat="1" ht="18.75" customHeight="1">
      <c r="B57" s="57"/>
      <c r="C57" s="101"/>
      <c r="D57" s="102"/>
      <c r="E57" s="103"/>
      <c r="F57" s="2"/>
      <c r="G57" s="3"/>
      <c r="H57" s="3"/>
      <c r="I57" s="2"/>
      <c r="J57" s="4"/>
    </row>
    <row r="58" spans="2:10" s="34" customFormat="1" ht="18.75" customHeight="1">
      <c r="B58" s="57"/>
      <c r="C58" s="101"/>
      <c r="D58" s="102"/>
      <c r="E58" s="103"/>
      <c r="F58" s="2"/>
      <c r="G58" s="3"/>
      <c r="H58" s="3"/>
      <c r="I58" s="2"/>
      <c r="J58" s="4"/>
    </row>
    <row r="59" spans="2:10" s="34" customFormat="1" ht="18.75" customHeight="1">
      <c r="B59" s="57"/>
      <c r="C59" s="101"/>
      <c r="D59" s="102"/>
      <c r="E59" s="103"/>
      <c r="F59" s="2"/>
      <c r="G59" s="3"/>
      <c r="H59" s="3"/>
      <c r="I59" s="2"/>
      <c r="J59" s="4"/>
    </row>
    <row r="60" spans="2:10" s="34" customFormat="1" ht="18.75" customHeight="1">
      <c r="B60" s="57"/>
      <c r="C60" s="101"/>
      <c r="D60" s="102"/>
      <c r="E60" s="103"/>
      <c r="F60" s="2"/>
      <c r="G60" s="3"/>
      <c r="H60" s="3"/>
      <c r="I60" s="2"/>
      <c r="J60" s="4"/>
    </row>
    <row r="61" spans="2:10" s="34" customFormat="1" ht="18.75" customHeight="1">
      <c r="B61" s="57"/>
      <c r="C61" s="101"/>
      <c r="D61" s="102"/>
      <c r="E61" s="103"/>
      <c r="F61" s="2"/>
      <c r="G61" s="3"/>
      <c r="H61" s="3"/>
      <c r="I61" s="2"/>
      <c r="J61" s="4"/>
    </row>
    <row r="62" spans="2:10" s="34" customFormat="1" ht="18.75" customHeight="1">
      <c r="B62" s="57"/>
      <c r="C62" s="101"/>
      <c r="D62" s="102"/>
      <c r="E62" s="103"/>
      <c r="F62" s="2"/>
      <c r="G62" s="3"/>
      <c r="H62" s="3"/>
      <c r="I62" s="2"/>
      <c r="J62" s="4"/>
    </row>
    <row r="63" spans="2:10" s="34" customFormat="1" ht="18.75" customHeight="1">
      <c r="B63" s="57"/>
      <c r="C63" s="101"/>
      <c r="D63" s="102"/>
      <c r="E63" s="103"/>
      <c r="F63" s="2"/>
      <c r="G63" s="3"/>
      <c r="H63" s="3"/>
      <c r="I63" s="2"/>
      <c r="J63" s="4"/>
    </row>
    <row r="64" spans="2:10" s="34" customFormat="1" ht="18.75" customHeight="1">
      <c r="B64" s="57"/>
      <c r="C64" s="101"/>
      <c r="D64" s="102"/>
      <c r="E64" s="103"/>
      <c r="F64" s="2"/>
      <c r="G64" s="3"/>
      <c r="H64" s="3"/>
      <c r="I64" s="2"/>
      <c r="J64" s="4"/>
    </row>
    <row r="65" spans="2:10" s="34" customFormat="1" ht="18.75" customHeight="1">
      <c r="B65" s="57"/>
      <c r="C65" s="101"/>
      <c r="D65" s="102"/>
      <c r="E65" s="103"/>
      <c r="F65" s="2"/>
      <c r="G65" s="3"/>
      <c r="H65" s="3"/>
      <c r="I65" s="2"/>
      <c r="J65" s="4"/>
    </row>
    <row r="66" spans="2:10" s="34" customFormat="1" ht="18.75" customHeight="1">
      <c r="B66" s="57"/>
      <c r="C66" s="101"/>
      <c r="D66" s="102"/>
      <c r="E66" s="103"/>
      <c r="F66" s="2"/>
      <c r="G66" s="3"/>
      <c r="H66" s="3"/>
      <c r="I66" s="2"/>
      <c r="J66" s="4"/>
    </row>
    <row r="67" spans="2:10" s="34" customFormat="1" ht="18.75" customHeight="1">
      <c r="B67" s="57"/>
      <c r="C67" s="101"/>
      <c r="D67" s="102"/>
      <c r="E67" s="103"/>
      <c r="F67" s="2"/>
      <c r="G67" s="3"/>
      <c r="H67" s="3"/>
      <c r="I67" s="2"/>
      <c r="J67" s="4"/>
    </row>
    <row r="68" spans="2:10" s="34" customFormat="1" ht="18.75" customHeight="1">
      <c r="B68" s="57"/>
      <c r="C68" s="101"/>
      <c r="D68" s="102"/>
      <c r="E68" s="103"/>
      <c r="F68" s="2"/>
      <c r="G68" s="3"/>
      <c r="H68" s="3"/>
      <c r="I68" s="2"/>
      <c r="J68" s="4"/>
    </row>
    <row r="69" spans="2:10" s="34" customFormat="1" ht="18.75" customHeight="1">
      <c r="B69" s="57"/>
      <c r="C69" s="101"/>
      <c r="D69" s="102"/>
      <c r="E69" s="103"/>
      <c r="F69" s="2"/>
      <c r="G69" s="3"/>
      <c r="H69" s="3"/>
      <c r="I69" s="2"/>
      <c r="J69" s="4"/>
    </row>
    <row r="70" spans="2:10" s="34" customFormat="1" ht="18.75" customHeight="1">
      <c r="B70" s="57"/>
      <c r="C70" s="101"/>
      <c r="D70" s="102"/>
      <c r="E70" s="103"/>
      <c r="F70" s="2"/>
      <c r="G70" s="3"/>
      <c r="H70" s="3"/>
      <c r="I70" s="2"/>
      <c r="J70" s="4"/>
    </row>
    <row r="71" spans="2:10" s="34" customFormat="1" ht="18.75" customHeight="1">
      <c r="B71" s="57"/>
      <c r="C71" s="101"/>
      <c r="D71" s="102"/>
      <c r="E71" s="103"/>
      <c r="F71" s="2"/>
      <c r="G71" s="3"/>
      <c r="H71" s="3"/>
      <c r="I71" s="2"/>
      <c r="J71" s="4"/>
    </row>
    <row r="72" spans="2:10" s="34" customFormat="1" ht="18.75" customHeight="1">
      <c r="B72" s="57"/>
      <c r="C72" s="101"/>
      <c r="D72" s="102"/>
      <c r="E72" s="103"/>
      <c r="F72" s="2"/>
      <c r="G72" s="3"/>
      <c r="H72" s="3"/>
      <c r="I72" s="2"/>
      <c r="J72" s="4"/>
    </row>
    <row r="73" spans="2:10" s="34" customFormat="1" ht="18.75" customHeight="1">
      <c r="B73" s="57"/>
      <c r="C73" s="101"/>
      <c r="D73" s="102"/>
      <c r="E73" s="103"/>
      <c r="F73" s="2"/>
      <c r="G73" s="3"/>
      <c r="H73" s="3"/>
      <c r="I73" s="2"/>
      <c r="J73" s="4"/>
    </row>
    <row r="74" spans="2:10" s="34" customFormat="1" ht="18.75" customHeight="1">
      <c r="B74" s="57"/>
      <c r="C74" s="101"/>
      <c r="D74" s="102"/>
      <c r="E74" s="103"/>
      <c r="F74" s="2"/>
      <c r="G74" s="3"/>
      <c r="H74" s="3"/>
      <c r="I74" s="2"/>
      <c r="J74" s="4"/>
    </row>
    <row r="75" spans="2:10" s="34" customFormat="1" ht="18.75" customHeight="1">
      <c r="B75" s="57"/>
      <c r="C75" s="101"/>
      <c r="D75" s="102"/>
      <c r="E75" s="103"/>
      <c r="F75" s="2"/>
      <c r="G75" s="3"/>
      <c r="H75" s="3"/>
      <c r="I75" s="2"/>
      <c r="J75" s="4"/>
    </row>
    <row r="76" spans="2:10" s="34" customFormat="1" ht="18.75" customHeight="1">
      <c r="B76" s="57"/>
      <c r="C76" s="101"/>
      <c r="D76" s="102"/>
      <c r="E76" s="103"/>
      <c r="F76" s="2"/>
      <c r="G76" s="3"/>
      <c r="H76" s="3"/>
      <c r="I76" s="2"/>
      <c r="J76" s="4"/>
    </row>
    <row r="77" spans="2:10" s="34" customFormat="1" ht="18.75" customHeight="1">
      <c r="B77" s="57"/>
      <c r="C77" s="101"/>
      <c r="D77" s="102"/>
      <c r="E77" s="103"/>
      <c r="F77" s="2"/>
      <c r="G77" s="3"/>
      <c r="H77" s="3"/>
      <c r="I77" s="2"/>
      <c r="J77" s="4"/>
    </row>
    <row r="78" spans="2:10" s="34" customFormat="1" ht="18.75" customHeight="1">
      <c r="B78" s="57"/>
      <c r="C78" s="101"/>
      <c r="D78" s="102"/>
      <c r="E78" s="103"/>
      <c r="F78" s="2"/>
      <c r="G78" s="3"/>
      <c r="H78" s="3"/>
      <c r="I78" s="2"/>
      <c r="J78" s="4"/>
    </row>
    <row r="79" spans="2:10" s="34" customFormat="1" ht="18.75" customHeight="1">
      <c r="B79" s="57"/>
      <c r="C79" s="101"/>
      <c r="D79" s="102"/>
      <c r="E79" s="103"/>
      <c r="F79" s="2"/>
      <c r="G79" s="3"/>
      <c r="H79" s="3"/>
      <c r="I79" s="2"/>
      <c r="J79" s="4"/>
    </row>
    <row r="80" spans="2:10" s="34" customFormat="1" ht="18.75" customHeight="1">
      <c r="B80" s="57"/>
      <c r="C80" s="101"/>
      <c r="D80" s="102"/>
      <c r="E80" s="103"/>
      <c r="F80" s="2"/>
      <c r="G80" s="3"/>
      <c r="H80" s="3"/>
      <c r="I80" s="2"/>
      <c r="J80" s="4"/>
    </row>
    <row r="81" spans="2:10" s="34" customFormat="1" ht="18.75" customHeight="1">
      <c r="B81" s="57"/>
      <c r="C81" s="101"/>
      <c r="D81" s="102"/>
      <c r="E81" s="103"/>
      <c r="F81" s="2"/>
      <c r="G81" s="3"/>
      <c r="H81" s="3"/>
      <c r="I81" s="2"/>
      <c r="J81" s="4"/>
    </row>
    <row r="82" spans="2:10" s="34" customFormat="1" ht="18.75" customHeight="1">
      <c r="B82" s="57"/>
      <c r="C82" s="101"/>
      <c r="D82" s="102"/>
      <c r="E82" s="103"/>
      <c r="F82" s="2"/>
      <c r="G82" s="3"/>
      <c r="H82" s="3"/>
      <c r="I82" s="2"/>
      <c r="J82" s="4"/>
    </row>
    <row r="83" spans="2:10" s="34" customFormat="1" ht="18.75" customHeight="1">
      <c r="B83" s="57"/>
      <c r="C83" s="101"/>
      <c r="D83" s="102"/>
      <c r="E83" s="103"/>
      <c r="F83" s="2"/>
      <c r="G83" s="3"/>
      <c r="H83" s="3"/>
      <c r="I83" s="2"/>
      <c r="J83" s="4"/>
    </row>
    <row r="84" spans="2:10" s="34" customFormat="1" ht="18.75" customHeight="1">
      <c r="B84" s="57"/>
      <c r="C84" s="101"/>
      <c r="D84" s="102"/>
      <c r="E84" s="103"/>
      <c r="F84" s="2"/>
      <c r="G84" s="3"/>
      <c r="H84" s="3"/>
      <c r="I84" s="2"/>
      <c r="J84" s="4"/>
    </row>
    <row r="85" spans="2:10" s="34" customFormat="1" ht="18.75" customHeight="1">
      <c r="B85" s="57"/>
      <c r="C85" s="101"/>
      <c r="D85" s="102"/>
      <c r="E85" s="103"/>
      <c r="F85" s="2"/>
      <c r="G85" s="3"/>
      <c r="H85" s="3"/>
      <c r="I85" s="2"/>
      <c r="J85" s="4"/>
    </row>
    <row r="86" spans="2:10" s="34" customFormat="1" ht="18.75" customHeight="1">
      <c r="B86" s="57"/>
      <c r="C86" s="101"/>
      <c r="D86" s="102"/>
      <c r="E86" s="103"/>
      <c r="F86" s="2"/>
      <c r="G86" s="3"/>
      <c r="H86" s="3"/>
      <c r="I86" s="2"/>
      <c r="J86" s="4"/>
    </row>
    <row r="87" spans="2:10" s="34" customFormat="1" ht="18.75" customHeight="1">
      <c r="B87" s="57"/>
      <c r="C87" s="101"/>
      <c r="D87" s="102"/>
      <c r="E87" s="103"/>
      <c r="F87" s="2"/>
      <c r="G87" s="3"/>
      <c r="H87" s="3"/>
      <c r="I87" s="2"/>
      <c r="J87" s="4"/>
    </row>
    <row r="88" spans="2:10" s="34" customFormat="1" ht="18.75" customHeight="1">
      <c r="B88" s="57"/>
      <c r="C88" s="101"/>
      <c r="D88" s="102"/>
      <c r="E88" s="103"/>
      <c r="F88" s="2"/>
      <c r="G88" s="3"/>
      <c r="H88" s="3"/>
      <c r="I88" s="2"/>
      <c r="J88" s="4"/>
    </row>
    <row r="89" spans="2:10" s="34" customFormat="1" ht="18.75" customHeight="1">
      <c r="B89" s="57"/>
      <c r="C89" s="101"/>
      <c r="D89" s="102"/>
      <c r="E89" s="103"/>
      <c r="F89" s="2"/>
      <c r="G89" s="3"/>
      <c r="H89" s="3"/>
      <c r="I89" s="2"/>
      <c r="J89" s="4"/>
    </row>
    <row r="90" spans="2:10" s="34" customFormat="1" ht="18.75" customHeight="1">
      <c r="B90" s="57"/>
      <c r="C90" s="101"/>
      <c r="D90" s="102"/>
      <c r="E90" s="103"/>
      <c r="F90" s="2"/>
      <c r="G90" s="3"/>
      <c r="H90" s="3"/>
      <c r="I90" s="2"/>
      <c r="J90" s="4"/>
    </row>
    <row r="91" spans="2:10" s="34" customFormat="1" ht="18.75" customHeight="1">
      <c r="B91" s="57"/>
      <c r="C91" s="101"/>
      <c r="D91" s="102"/>
      <c r="E91" s="103"/>
      <c r="F91" s="2"/>
      <c r="G91" s="3"/>
      <c r="H91" s="3"/>
      <c r="I91" s="2"/>
      <c r="J91" s="4"/>
    </row>
    <row r="92" spans="2:10" s="34" customFormat="1" ht="18.75" customHeight="1">
      <c r="B92" s="57"/>
      <c r="C92" s="101"/>
      <c r="D92" s="102"/>
      <c r="E92" s="103"/>
      <c r="F92" s="2"/>
      <c r="G92" s="3"/>
      <c r="H92" s="3"/>
      <c r="I92" s="2"/>
      <c r="J92" s="4"/>
    </row>
    <row r="93" spans="2:10" s="34" customFormat="1" ht="18.75" customHeight="1">
      <c r="B93" s="57"/>
      <c r="C93" s="101"/>
      <c r="D93" s="102"/>
      <c r="E93" s="103"/>
      <c r="F93" s="2"/>
      <c r="G93" s="3"/>
      <c r="H93" s="3"/>
      <c r="I93" s="2"/>
      <c r="J93" s="4"/>
    </row>
    <row r="94" spans="2:10" s="34" customFormat="1" ht="18.75" customHeight="1">
      <c r="B94" s="57"/>
      <c r="C94" s="101"/>
      <c r="D94" s="102"/>
      <c r="E94" s="103"/>
      <c r="F94" s="2"/>
      <c r="G94" s="3"/>
      <c r="H94" s="3"/>
      <c r="I94" s="2"/>
      <c r="J94" s="4"/>
    </row>
    <row r="95" spans="2:10" s="34" customFormat="1" ht="18.75" customHeight="1">
      <c r="B95" s="57"/>
      <c r="C95" s="101"/>
      <c r="D95" s="102"/>
      <c r="E95" s="103"/>
      <c r="F95" s="2"/>
      <c r="G95" s="3"/>
      <c r="H95" s="3"/>
      <c r="I95" s="2"/>
      <c r="J95" s="4"/>
    </row>
    <row r="96" spans="2:10" s="34" customFormat="1" ht="18.75" customHeight="1">
      <c r="B96" s="57"/>
      <c r="C96" s="101"/>
      <c r="D96" s="102"/>
      <c r="E96" s="103"/>
      <c r="F96" s="2"/>
      <c r="G96" s="3"/>
      <c r="H96" s="3"/>
      <c r="I96" s="2"/>
      <c r="J96" s="4"/>
    </row>
    <row r="97" spans="2:10" s="34" customFormat="1" ht="18.75" customHeight="1">
      <c r="B97" s="57"/>
      <c r="C97" s="101"/>
      <c r="D97" s="102"/>
      <c r="E97" s="103"/>
      <c r="F97" s="2"/>
      <c r="G97" s="3"/>
      <c r="H97" s="3"/>
      <c r="I97" s="2"/>
      <c r="J97" s="4"/>
    </row>
    <row r="98" spans="2:10" s="34" customFormat="1" ht="18.75" customHeight="1">
      <c r="B98" s="57"/>
      <c r="C98" s="101"/>
      <c r="D98" s="102"/>
      <c r="E98" s="103"/>
      <c r="F98" s="2"/>
      <c r="G98" s="3"/>
      <c r="H98" s="3"/>
      <c r="I98" s="2"/>
      <c r="J98" s="4"/>
    </row>
    <row r="99" spans="2:10" s="34" customFormat="1" ht="18.75" customHeight="1">
      <c r="B99" s="57"/>
      <c r="C99" s="101"/>
      <c r="D99" s="102"/>
      <c r="E99" s="103"/>
      <c r="F99" s="2"/>
      <c r="G99" s="3"/>
      <c r="H99" s="3"/>
      <c r="I99" s="2"/>
      <c r="J99" s="4"/>
    </row>
    <row r="100" spans="2:10" s="34" customFormat="1" ht="18.75" customHeight="1">
      <c r="B100" s="57"/>
      <c r="C100" s="101"/>
      <c r="D100" s="102"/>
      <c r="E100" s="103"/>
      <c r="F100" s="2"/>
      <c r="G100" s="3"/>
      <c r="H100" s="3"/>
      <c r="I100" s="2"/>
      <c r="J100" s="4"/>
    </row>
    <row r="101" spans="2:10" s="34" customFormat="1" ht="18.75" customHeight="1">
      <c r="B101" s="57"/>
      <c r="C101" s="101"/>
      <c r="D101" s="102"/>
      <c r="E101" s="103"/>
      <c r="F101" s="2"/>
      <c r="G101" s="3"/>
      <c r="H101" s="3"/>
      <c r="I101" s="2"/>
      <c r="J101" s="4"/>
    </row>
    <row r="102" spans="2:10" s="34" customFormat="1" ht="18.75" customHeight="1">
      <c r="B102" s="57"/>
      <c r="C102" s="101"/>
      <c r="D102" s="102"/>
      <c r="E102" s="103"/>
      <c r="F102" s="2"/>
      <c r="G102" s="3"/>
      <c r="H102" s="3"/>
      <c r="I102" s="2"/>
      <c r="J102" s="4"/>
    </row>
    <row r="103" spans="2:10" s="34" customFormat="1" ht="18.75" customHeight="1">
      <c r="B103" s="57"/>
      <c r="C103" s="101"/>
      <c r="D103" s="102"/>
      <c r="E103" s="103"/>
      <c r="F103" s="2"/>
      <c r="G103" s="3"/>
      <c r="H103" s="3"/>
      <c r="I103" s="2"/>
      <c r="J103" s="4"/>
    </row>
    <row r="104" spans="2:10" s="34" customFormat="1" ht="18.75" customHeight="1">
      <c r="B104" s="57"/>
      <c r="C104" s="101"/>
      <c r="D104" s="102"/>
      <c r="E104" s="103"/>
      <c r="F104" s="2"/>
      <c r="G104" s="3"/>
      <c r="H104" s="3"/>
      <c r="I104" s="2"/>
      <c r="J104" s="4"/>
    </row>
    <row r="105" spans="2:10" s="34" customFormat="1" ht="18.75" customHeight="1">
      <c r="B105" s="57"/>
      <c r="C105" s="101"/>
      <c r="D105" s="102"/>
      <c r="E105" s="103"/>
      <c r="F105" s="2"/>
      <c r="G105" s="3"/>
      <c r="H105" s="3"/>
      <c r="I105" s="2"/>
      <c r="J105" s="4"/>
    </row>
    <row r="106" spans="2:10" s="34" customFormat="1" ht="18.75" customHeight="1">
      <c r="B106" s="57"/>
      <c r="C106" s="101"/>
      <c r="D106" s="102"/>
      <c r="E106" s="103"/>
      <c r="F106" s="2"/>
      <c r="G106" s="3"/>
      <c r="H106" s="3"/>
      <c r="I106" s="2"/>
      <c r="J106" s="4"/>
    </row>
    <row r="107" spans="2:10" s="34" customFormat="1" ht="18.75" customHeight="1">
      <c r="B107" s="57"/>
      <c r="C107" s="101"/>
      <c r="D107" s="102"/>
      <c r="E107" s="103"/>
      <c r="F107" s="2"/>
      <c r="G107" s="3"/>
      <c r="H107" s="3"/>
      <c r="I107" s="2"/>
      <c r="J107" s="4"/>
    </row>
    <row r="108" spans="2:10" s="34" customFormat="1" ht="18.75" customHeight="1">
      <c r="B108" s="57"/>
      <c r="C108" s="101"/>
      <c r="D108" s="102"/>
      <c r="E108" s="103"/>
      <c r="F108" s="2"/>
      <c r="G108" s="3"/>
      <c r="H108" s="3"/>
      <c r="I108" s="2"/>
      <c r="J108" s="4"/>
    </row>
    <row r="109" spans="2:10" s="34" customFormat="1" ht="18.75" customHeight="1">
      <c r="B109" s="57"/>
      <c r="C109" s="101"/>
      <c r="D109" s="102"/>
      <c r="E109" s="103"/>
      <c r="F109" s="2"/>
      <c r="G109" s="3"/>
      <c r="H109" s="3"/>
      <c r="I109" s="2"/>
      <c r="J109" s="4"/>
    </row>
    <row r="110" spans="2:10" s="34" customFormat="1" ht="18.75" customHeight="1">
      <c r="B110" s="57"/>
      <c r="C110" s="101"/>
      <c r="D110" s="102"/>
      <c r="E110" s="103"/>
      <c r="F110" s="2"/>
      <c r="G110" s="3"/>
      <c r="H110" s="3"/>
      <c r="I110" s="2"/>
      <c r="J110" s="4"/>
    </row>
    <row r="111" spans="2:10" s="34" customFormat="1" ht="18.75" customHeight="1">
      <c r="B111" s="57"/>
      <c r="C111" s="101"/>
      <c r="D111" s="102"/>
      <c r="E111" s="103"/>
      <c r="F111" s="2"/>
      <c r="G111" s="3"/>
      <c r="H111" s="3"/>
      <c r="I111" s="2"/>
      <c r="J111" s="4"/>
    </row>
    <row r="112" spans="2:10" s="34" customFormat="1" ht="18.75" customHeight="1">
      <c r="B112" s="57"/>
      <c r="C112" s="101"/>
      <c r="D112" s="102"/>
      <c r="E112" s="103"/>
      <c r="F112" s="2"/>
      <c r="G112" s="3"/>
      <c r="H112" s="3"/>
      <c r="I112" s="2"/>
      <c r="J112" s="4"/>
    </row>
    <row r="113" spans="2:10" s="34" customFormat="1" ht="18.75" customHeight="1">
      <c r="B113" s="57"/>
      <c r="C113" s="101"/>
      <c r="D113" s="102"/>
      <c r="E113" s="103"/>
      <c r="F113" s="2"/>
      <c r="G113" s="3"/>
      <c r="H113" s="3"/>
      <c r="I113" s="2"/>
      <c r="J113" s="4"/>
    </row>
    <row r="114" spans="2:10" s="34" customFormat="1" ht="18.75" customHeight="1">
      <c r="B114" s="57"/>
      <c r="C114" s="101"/>
      <c r="D114" s="102"/>
      <c r="E114" s="103"/>
      <c r="F114" s="2"/>
      <c r="G114" s="3"/>
      <c r="H114" s="3"/>
      <c r="I114" s="2"/>
      <c r="J114" s="4"/>
    </row>
    <row r="115" spans="2:10" s="34" customFormat="1" ht="18.75" customHeight="1">
      <c r="B115" s="57"/>
      <c r="C115" s="101"/>
      <c r="D115" s="102"/>
      <c r="E115" s="103"/>
      <c r="F115" s="2"/>
      <c r="G115" s="3"/>
      <c r="H115" s="3"/>
      <c r="I115" s="2"/>
      <c r="J115" s="4"/>
    </row>
    <row r="116" spans="2:10" s="34" customFormat="1" ht="18.75" customHeight="1">
      <c r="B116" s="57"/>
      <c r="C116" s="101"/>
      <c r="D116" s="102"/>
      <c r="E116" s="103"/>
      <c r="F116" s="2"/>
      <c r="G116" s="3"/>
      <c r="H116" s="3"/>
      <c r="I116" s="2"/>
      <c r="J116" s="4"/>
    </row>
    <row r="117" spans="2:10" s="34" customFormat="1" ht="18.75" customHeight="1">
      <c r="B117" s="57"/>
      <c r="C117" s="101"/>
      <c r="D117" s="102"/>
      <c r="E117" s="103"/>
      <c r="F117" s="2"/>
      <c r="G117" s="3"/>
      <c r="H117" s="3"/>
      <c r="I117" s="2"/>
      <c r="J117" s="4"/>
    </row>
    <row r="118" spans="2:10" s="34" customFormat="1" ht="18.75" customHeight="1">
      <c r="B118" s="57"/>
      <c r="C118" s="101"/>
      <c r="D118" s="102"/>
      <c r="E118" s="103"/>
      <c r="F118" s="2"/>
      <c r="G118" s="3"/>
      <c r="H118" s="3"/>
      <c r="I118" s="2"/>
      <c r="J118" s="4"/>
    </row>
    <row r="119" spans="2:10" s="34" customFormat="1" ht="18.75" customHeight="1">
      <c r="B119" s="57"/>
      <c r="C119" s="101"/>
      <c r="D119" s="102"/>
      <c r="E119" s="103"/>
      <c r="F119" s="2"/>
      <c r="G119" s="3"/>
      <c r="H119" s="3"/>
      <c r="I119" s="2"/>
      <c r="J119" s="4"/>
    </row>
    <row r="120" spans="2:10" s="34" customFormat="1" ht="18.75" customHeight="1">
      <c r="B120" s="57"/>
      <c r="C120" s="101"/>
      <c r="D120" s="102"/>
      <c r="E120" s="103"/>
      <c r="F120" s="2"/>
      <c r="G120" s="3"/>
      <c r="H120" s="3"/>
      <c r="I120" s="2"/>
      <c r="J120" s="4"/>
    </row>
    <row r="121" spans="2:10" s="34" customFormat="1" ht="18.75" customHeight="1">
      <c r="B121" s="57"/>
      <c r="C121" s="101"/>
      <c r="D121" s="102"/>
      <c r="E121" s="103"/>
      <c r="F121" s="2"/>
      <c r="G121" s="3"/>
      <c r="H121" s="3"/>
      <c r="I121" s="2"/>
      <c r="J121" s="4"/>
    </row>
    <row r="122" spans="2:10" s="34" customFormat="1" ht="18.75" customHeight="1">
      <c r="B122" s="57"/>
      <c r="C122" s="101"/>
      <c r="D122" s="102"/>
      <c r="E122" s="103"/>
      <c r="F122" s="2"/>
      <c r="G122" s="3"/>
      <c r="H122" s="3"/>
      <c r="I122" s="2"/>
      <c r="J122" s="4"/>
    </row>
    <row r="123" spans="2:10" s="34" customFormat="1" ht="18.75" customHeight="1">
      <c r="B123" s="57"/>
      <c r="C123" s="101"/>
      <c r="D123" s="102"/>
      <c r="E123" s="103"/>
      <c r="F123" s="2"/>
      <c r="G123" s="3"/>
      <c r="H123" s="3"/>
      <c r="I123" s="2"/>
      <c r="J123" s="4"/>
    </row>
    <row r="124" spans="2:10" s="34" customFormat="1" ht="18.75" customHeight="1">
      <c r="B124" s="57"/>
      <c r="C124" s="101"/>
      <c r="D124" s="102"/>
      <c r="E124" s="103"/>
      <c r="F124" s="2"/>
      <c r="G124" s="3"/>
      <c r="H124" s="3"/>
      <c r="I124" s="2"/>
      <c r="J124" s="4"/>
    </row>
    <row r="125" spans="2:10" s="34" customFormat="1" ht="18.75" customHeight="1">
      <c r="B125" s="57"/>
      <c r="C125" s="101"/>
      <c r="D125" s="102"/>
      <c r="E125" s="103"/>
      <c r="F125" s="2"/>
      <c r="G125" s="3"/>
      <c r="H125" s="3"/>
      <c r="I125" s="2"/>
      <c r="J125" s="4"/>
    </row>
    <row r="126" spans="2:10" s="34" customFormat="1" ht="18.75" customHeight="1">
      <c r="B126" s="57"/>
      <c r="C126" s="101"/>
      <c r="D126" s="102"/>
      <c r="E126" s="103"/>
      <c r="F126" s="2"/>
      <c r="G126" s="3"/>
      <c r="H126" s="3"/>
      <c r="I126" s="2"/>
      <c r="J126" s="4"/>
    </row>
    <row r="127" spans="2:10" s="34" customFormat="1" ht="18.75" customHeight="1">
      <c r="B127" s="57"/>
      <c r="C127" s="101"/>
      <c r="D127" s="102"/>
      <c r="E127" s="103"/>
      <c r="F127" s="2"/>
      <c r="G127" s="3"/>
      <c r="H127" s="3"/>
      <c r="I127" s="2"/>
      <c r="J127" s="4"/>
    </row>
    <row r="128" spans="2:10" s="34" customFormat="1" ht="18.75" customHeight="1">
      <c r="B128" s="57"/>
      <c r="C128" s="101"/>
      <c r="D128" s="102"/>
      <c r="E128" s="103"/>
      <c r="F128" s="2"/>
      <c r="G128" s="3"/>
      <c r="H128" s="3"/>
      <c r="I128" s="2"/>
      <c r="J128" s="4"/>
    </row>
    <row r="129" spans="2:10" s="34" customFormat="1" ht="18.75" customHeight="1">
      <c r="B129" s="57"/>
      <c r="C129" s="101"/>
      <c r="D129" s="102"/>
      <c r="E129" s="103"/>
      <c r="F129" s="2"/>
      <c r="G129" s="3"/>
      <c r="H129" s="3"/>
      <c r="I129" s="2"/>
      <c r="J129" s="4"/>
    </row>
    <row r="130" spans="2:10" s="34" customFormat="1" ht="18.75" customHeight="1">
      <c r="B130" s="57"/>
      <c r="C130" s="101"/>
      <c r="D130" s="102"/>
      <c r="E130" s="103"/>
      <c r="F130" s="2"/>
      <c r="G130" s="3"/>
      <c r="H130" s="3"/>
      <c r="I130" s="2"/>
      <c r="J130" s="4"/>
    </row>
    <row r="131" spans="2:10" s="34" customFormat="1" ht="18.75" customHeight="1">
      <c r="B131" s="57"/>
      <c r="C131" s="101"/>
      <c r="D131" s="102"/>
      <c r="E131" s="103"/>
      <c r="F131" s="2"/>
      <c r="G131" s="3"/>
      <c r="H131" s="3"/>
      <c r="I131" s="2"/>
      <c r="J131" s="4"/>
    </row>
    <row r="132" spans="2:10" s="34" customFormat="1" ht="18.75" customHeight="1">
      <c r="B132" s="57"/>
      <c r="C132" s="101"/>
      <c r="D132" s="102"/>
      <c r="E132" s="103"/>
      <c r="F132" s="2"/>
      <c r="G132" s="3"/>
      <c r="H132" s="3"/>
      <c r="I132" s="2"/>
      <c r="J132" s="4"/>
    </row>
    <row r="133" spans="2:10" s="34" customFormat="1" ht="18.75" customHeight="1">
      <c r="B133" s="57"/>
      <c r="C133" s="101"/>
      <c r="D133" s="102"/>
      <c r="E133" s="103"/>
      <c r="F133" s="2"/>
      <c r="G133" s="3"/>
      <c r="H133" s="3"/>
      <c r="I133" s="2"/>
      <c r="J133" s="4"/>
    </row>
    <row r="134" spans="2:10" s="34" customFormat="1" ht="18.75" customHeight="1">
      <c r="B134" s="57"/>
      <c r="C134" s="101"/>
      <c r="D134" s="102"/>
      <c r="E134" s="103"/>
      <c r="F134" s="2"/>
      <c r="G134" s="3"/>
      <c r="H134" s="3"/>
      <c r="I134" s="2"/>
      <c r="J134" s="4"/>
    </row>
    <row r="135" spans="2:10" s="34" customFormat="1" ht="18.75" customHeight="1">
      <c r="B135" s="57"/>
      <c r="C135" s="101"/>
      <c r="D135" s="102"/>
      <c r="E135" s="103"/>
      <c r="F135" s="2"/>
      <c r="G135" s="3"/>
      <c r="H135" s="3"/>
      <c r="I135" s="2"/>
      <c r="J135" s="4"/>
    </row>
    <row r="136" spans="2:10" s="34" customFormat="1" ht="18.75" customHeight="1">
      <c r="B136" s="57"/>
      <c r="C136" s="101"/>
      <c r="D136" s="102"/>
      <c r="E136" s="103"/>
      <c r="F136" s="2"/>
      <c r="G136" s="3"/>
      <c r="H136" s="3"/>
      <c r="I136" s="2"/>
      <c r="J136" s="4"/>
    </row>
    <row r="137" spans="2:10" s="34" customFormat="1" ht="18.75" customHeight="1">
      <c r="B137" s="57"/>
      <c r="C137" s="101"/>
      <c r="D137" s="102"/>
      <c r="E137" s="103"/>
      <c r="F137" s="2"/>
      <c r="G137" s="3"/>
      <c r="H137" s="3"/>
      <c r="I137" s="2"/>
      <c r="J137" s="4"/>
    </row>
    <row r="138" spans="2:10" s="34" customFormat="1" ht="18.75" customHeight="1">
      <c r="B138" s="57"/>
      <c r="C138" s="101"/>
      <c r="D138" s="102"/>
      <c r="E138" s="103"/>
      <c r="F138" s="2"/>
      <c r="G138" s="3"/>
      <c r="H138" s="3"/>
      <c r="I138" s="2"/>
      <c r="J138" s="4"/>
    </row>
    <row r="139" spans="2:10" s="34" customFormat="1" ht="18.75" customHeight="1">
      <c r="B139" s="57"/>
      <c r="C139" s="101"/>
      <c r="D139" s="102"/>
      <c r="E139" s="103"/>
      <c r="F139" s="2"/>
      <c r="G139" s="3"/>
      <c r="H139" s="3"/>
      <c r="I139" s="2"/>
      <c r="J139" s="4"/>
    </row>
    <row r="140" spans="2:10" s="34" customFormat="1" ht="18.75" customHeight="1">
      <c r="B140" s="57"/>
      <c r="C140" s="101"/>
      <c r="D140" s="102"/>
      <c r="E140" s="103"/>
      <c r="F140" s="2"/>
      <c r="G140" s="3"/>
      <c r="H140" s="3"/>
      <c r="I140" s="2"/>
      <c r="J140" s="4"/>
    </row>
    <row r="141" spans="2:10" s="34" customFormat="1" ht="18.75" customHeight="1">
      <c r="B141" s="57"/>
      <c r="C141" s="101"/>
      <c r="D141" s="102"/>
      <c r="E141" s="103"/>
      <c r="F141" s="2"/>
      <c r="G141" s="3"/>
      <c r="H141" s="3"/>
      <c r="I141" s="2"/>
      <c r="J141" s="4"/>
    </row>
    <row r="142" spans="2:10" s="34" customFormat="1" ht="18.75" customHeight="1">
      <c r="B142" s="57"/>
      <c r="C142" s="101"/>
      <c r="D142" s="102"/>
      <c r="E142" s="103"/>
      <c r="F142" s="2"/>
      <c r="G142" s="3"/>
      <c r="H142" s="3"/>
      <c r="I142" s="2"/>
      <c r="J142" s="4"/>
    </row>
    <row r="143" spans="2:10" s="34" customFormat="1" ht="18.75" customHeight="1">
      <c r="B143" s="57"/>
      <c r="C143" s="101"/>
      <c r="D143" s="102"/>
      <c r="E143" s="103"/>
      <c r="F143" s="2"/>
      <c r="G143" s="3"/>
      <c r="H143" s="3"/>
      <c r="I143" s="2"/>
      <c r="J143" s="4"/>
    </row>
    <row r="144" spans="2:10" s="34" customFormat="1" ht="18.75" customHeight="1">
      <c r="B144" s="57"/>
      <c r="C144" s="101"/>
      <c r="D144" s="102"/>
      <c r="E144" s="103"/>
      <c r="F144" s="2"/>
      <c r="G144" s="3"/>
      <c r="H144" s="3"/>
      <c r="I144" s="2"/>
      <c r="J144" s="4"/>
    </row>
    <row r="145" spans="2:10" s="34" customFormat="1" ht="18.75" customHeight="1">
      <c r="B145" s="57"/>
      <c r="C145" s="101"/>
      <c r="D145" s="102"/>
      <c r="E145" s="103"/>
      <c r="F145" s="2"/>
      <c r="G145" s="3"/>
      <c r="H145" s="3"/>
      <c r="I145" s="2"/>
      <c r="J145" s="4"/>
    </row>
    <row r="146" spans="2:10" s="34" customFormat="1" ht="18.75" customHeight="1">
      <c r="B146" s="57"/>
      <c r="C146" s="101"/>
      <c r="D146" s="102"/>
      <c r="E146" s="103"/>
      <c r="F146" s="2"/>
      <c r="G146" s="3"/>
      <c r="H146" s="3"/>
      <c r="I146" s="2"/>
      <c r="J146" s="4"/>
    </row>
    <row r="147" spans="2:10" s="34" customFormat="1" ht="18.75" customHeight="1">
      <c r="B147" s="57"/>
      <c r="C147" s="101"/>
      <c r="D147" s="102"/>
      <c r="E147" s="103"/>
      <c r="F147" s="2"/>
      <c r="G147" s="3"/>
      <c r="H147" s="3"/>
      <c r="I147" s="2"/>
      <c r="J147" s="4"/>
    </row>
    <row r="148" spans="2:10" s="34" customFormat="1" ht="18.75" customHeight="1">
      <c r="B148" s="57"/>
      <c r="C148" s="101"/>
      <c r="D148" s="102"/>
      <c r="E148" s="103"/>
      <c r="F148" s="2"/>
      <c r="G148" s="3"/>
      <c r="H148" s="3"/>
      <c r="I148" s="2"/>
      <c r="J148" s="4"/>
    </row>
    <row r="149" spans="2:10" s="34" customFormat="1" ht="18.75" customHeight="1">
      <c r="B149" s="57"/>
      <c r="C149" s="101"/>
      <c r="D149" s="102"/>
      <c r="E149" s="103"/>
      <c r="F149" s="2"/>
      <c r="G149" s="3"/>
      <c r="H149" s="3"/>
      <c r="I149" s="2"/>
      <c r="J149" s="4"/>
    </row>
    <row r="150" spans="2:10" s="34" customFormat="1" ht="18.75" customHeight="1">
      <c r="B150" s="57"/>
      <c r="C150" s="101"/>
      <c r="D150" s="102"/>
      <c r="E150" s="103"/>
      <c r="F150" s="2"/>
      <c r="G150" s="3"/>
      <c r="H150" s="3"/>
      <c r="I150" s="2"/>
      <c r="J150" s="4"/>
    </row>
    <row r="151" spans="2:10" s="34" customFormat="1" ht="18.75" customHeight="1">
      <c r="B151" s="57"/>
      <c r="C151" s="101"/>
      <c r="D151" s="102"/>
      <c r="E151" s="103"/>
      <c r="F151" s="2"/>
      <c r="G151" s="3"/>
      <c r="H151" s="3"/>
      <c r="I151" s="2"/>
      <c r="J151" s="4"/>
    </row>
    <row r="152" spans="2:10" s="34" customFormat="1" ht="18.75" customHeight="1">
      <c r="B152" s="57"/>
      <c r="C152" s="101"/>
      <c r="D152" s="102"/>
      <c r="E152" s="103"/>
      <c r="F152" s="2"/>
      <c r="G152" s="3"/>
      <c r="H152" s="3"/>
      <c r="I152" s="2"/>
      <c r="J152" s="4"/>
    </row>
    <row r="153" spans="2:10" s="34" customFormat="1" ht="18.75" customHeight="1">
      <c r="B153" s="57"/>
      <c r="C153" s="101"/>
      <c r="D153" s="102"/>
      <c r="E153" s="103"/>
      <c r="F153" s="2"/>
      <c r="G153" s="3"/>
      <c r="H153" s="3"/>
      <c r="I153" s="2"/>
      <c r="J153" s="4"/>
    </row>
    <row r="154" spans="2:10" s="34" customFormat="1" ht="18.75" customHeight="1">
      <c r="B154" s="57"/>
      <c r="C154" s="101"/>
      <c r="D154" s="102"/>
      <c r="E154" s="103"/>
      <c r="F154" s="2"/>
      <c r="G154" s="3"/>
      <c r="H154" s="3"/>
      <c r="I154" s="2"/>
      <c r="J154" s="4"/>
    </row>
    <row r="155" spans="2:10" s="34" customFormat="1" ht="18.75" customHeight="1">
      <c r="B155" s="57"/>
      <c r="C155" s="101"/>
      <c r="D155" s="102"/>
      <c r="E155" s="103"/>
      <c r="F155" s="2"/>
      <c r="G155" s="3"/>
      <c r="H155" s="3"/>
      <c r="I155" s="2"/>
      <c r="J155" s="4"/>
    </row>
    <row r="156" spans="2:10" s="34" customFormat="1" ht="18.75" customHeight="1">
      <c r="B156" s="57"/>
      <c r="C156" s="101"/>
      <c r="D156" s="102"/>
      <c r="E156" s="103"/>
      <c r="F156" s="2"/>
      <c r="G156" s="3"/>
      <c r="H156" s="3"/>
      <c r="I156" s="2"/>
      <c r="J156" s="4"/>
    </row>
    <row r="157" spans="2:10" s="34" customFormat="1" ht="18.75" customHeight="1">
      <c r="B157" s="57"/>
      <c r="C157" s="101"/>
      <c r="D157" s="102"/>
      <c r="E157" s="103"/>
      <c r="F157" s="2"/>
      <c r="G157" s="3"/>
      <c r="H157" s="3"/>
      <c r="I157" s="2"/>
      <c r="J157" s="4"/>
    </row>
    <row r="158" spans="2:10" s="34" customFormat="1" ht="18.75" customHeight="1">
      <c r="B158" s="57"/>
      <c r="C158" s="101"/>
      <c r="D158" s="102"/>
      <c r="E158" s="103"/>
      <c r="F158" s="2"/>
      <c r="G158" s="3"/>
      <c r="H158" s="3"/>
      <c r="I158" s="2"/>
      <c r="J158" s="4"/>
    </row>
    <row r="159" spans="2:10" s="34" customFormat="1" ht="18.75" customHeight="1">
      <c r="B159" s="57"/>
      <c r="C159" s="101"/>
      <c r="D159" s="102"/>
      <c r="E159" s="103"/>
      <c r="F159" s="2"/>
      <c r="G159" s="3"/>
      <c r="H159" s="3"/>
      <c r="I159" s="2"/>
      <c r="J159" s="4"/>
    </row>
    <row r="160" spans="2:10" s="34" customFormat="1" ht="18.75" customHeight="1">
      <c r="B160" s="57"/>
      <c r="C160" s="101"/>
      <c r="D160" s="102"/>
      <c r="E160" s="103"/>
      <c r="F160" s="2"/>
      <c r="G160" s="3"/>
      <c r="H160" s="3"/>
      <c r="I160" s="2"/>
      <c r="J160" s="4"/>
    </row>
    <row r="161" spans="2:10" s="34" customFormat="1" ht="18.75" customHeight="1">
      <c r="B161" s="57"/>
      <c r="C161" s="101"/>
      <c r="D161" s="102"/>
      <c r="E161" s="103"/>
      <c r="F161" s="2"/>
      <c r="G161" s="3"/>
      <c r="H161" s="3"/>
      <c r="I161" s="2"/>
      <c r="J161" s="4"/>
    </row>
    <row r="162" spans="2:10" s="34" customFormat="1" ht="18.75" customHeight="1">
      <c r="B162" s="57"/>
      <c r="C162" s="101"/>
      <c r="D162" s="102"/>
      <c r="E162" s="103"/>
      <c r="F162" s="2"/>
      <c r="G162" s="3"/>
      <c r="H162" s="3"/>
      <c r="I162" s="2"/>
      <c r="J162" s="4"/>
    </row>
    <row r="163" spans="2:10" s="34" customFormat="1" ht="18.75" customHeight="1">
      <c r="B163" s="57"/>
      <c r="C163" s="101"/>
      <c r="D163" s="102"/>
      <c r="E163" s="103"/>
      <c r="F163" s="2"/>
      <c r="G163" s="3"/>
      <c r="H163" s="3"/>
      <c r="I163" s="2"/>
      <c r="J163" s="4"/>
    </row>
    <row r="164" spans="2:10" s="34" customFormat="1" ht="18.75" customHeight="1">
      <c r="B164" s="57"/>
      <c r="C164" s="101"/>
      <c r="D164" s="102"/>
      <c r="E164" s="103"/>
      <c r="F164" s="2"/>
      <c r="G164" s="3"/>
      <c r="H164" s="3"/>
      <c r="I164" s="2"/>
      <c r="J164" s="4"/>
    </row>
    <row r="165" spans="2:10" s="34" customFormat="1" ht="18.75" customHeight="1">
      <c r="B165" s="57"/>
      <c r="C165" s="101"/>
      <c r="D165" s="102"/>
      <c r="E165" s="103"/>
      <c r="F165" s="2"/>
      <c r="G165" s="3"/>
      <c r="H165" s="3"/>
      <c r="I165" s="2"/>
      <c r="J165" s="4"/>
    </row>
    <row r="166" spans="2:10" s="34" customFormat="1" ht="18.75" customHeight="1">
      <c r="B166" s="57"/>
      <c r="C166" s="101"/>
      <c r="D166" s="102"/>
      <c r="E166" s="103"/>
      <c r="F166" s="2"/>
      <c r="G166" s="3"/>
      <c r="H166" s="3"/>
      <c r="I166" s="2"/>
      <c r="J166" s="4"/>
    </row>
    <row r="167" spans="2:10" s="34" customFormat="1" ht="18.75" customHeight="1">
      <c r="B167" s="57"/>
      <c r="C167" s="101"/>
      <c r="D167" s="102"/>
      <c r="E167" s="103"/>
      <c r="F167" s="2"/>
      <c r="G167" s="3"/>
      <c r="H167" s="3"/>
      <c r="I167" s="2"/>
      <c r="J167" s="4"/>
    </row>
    <row r="168" spans="2:10" s="34" customFormat="1" ht="18.75" customHeight="1">
      <c r="B168" s="57"/>
      <c r="C168" s="101"/>
      <c r="D168" s="102"/>
      <c r="E168" s="103"/>
      <c r="F168" s="2"/>
      <c r="G168" s="3"/>
      <c r="H168" s="3"/>
      <c r="I168" s="2"/>
      <c r="J168" s="4"/>
    </row>
    <row r="169" spans="2:10" s="34" customFormat="1" ht="18.75" customHeight="1">
      <c r="B169" s="57"/>
      <c r="C169" s="101"/>
      <c r="D169" s="102"/>
      <c r="E169" s="103"/>
      <c r="F169" s="2"/>
      <c r="G169" s="3"/>
      <c r="H169" s="3"/>
      <c r="I169" s="2"/>
      <c r="J169" s="4"/>
    </row>
    <row r="170" spans="2:10" s="34" customFormat="1" ht="18.75" customHeight="1">
      <c r="B170" s="57"/>
      <c r="C170" s="101"/>
      <c r="D170" s="102"/>
      <c r="E170" s="103"/>
      <c r="F170" s="2"/>
      <c r="G170" s="3"/>
      <c r="H170" s="3"/>
      <c r="I170" s="2"/>
      <c r="J170" s="4"/>
    </row>
    <row r="171" spans="2:10" s="34" customFormat="1" ht="18.75" customHeight="1">
      <c r="B171" s="57"/>
      <c r="C171" s="101"/>
      <c r="D171" s="102"/>
      <c r="E171" s="103"/>
      <c r="F171" s="2"/>
      <c r="G171" s="3"/>
      <c r="H171" s="3"/>
      <c r="I171" s="2"/>
      <c r="J171" s="4"/>
    </row>
    <row r="172" spans="2:10" s="34" customFormat="1" ht="18.75" customHeight="1">
      <c r="B172" s="57"/>
      <c r="C172" s="101"/>
      <c r="D172" s="102"/>
      <c r="E172" s="103"/>
      <c r="F172" s="2"/>
      <c r="G172" s="3"/>
      <c r="H172" s="3"/>
      <c r="I172" s="2"/>
      <c r="J172" s="4"/>
    </row>
    <row r="173" spans="2:10" s="34" customFormat="1" ht="18.75" customHeight="1">
      <c r="B173" s="57"/>
      <c r="C173" s="101"/>
      <c r="D173" s="102"/>
      <c r="E173" s="103"/>
      <c r="F173" s="2"/>
      <c r="G173" s="3"/>
      <c r="H173" s="3"/>
      <c r="I173" s="2"/>
      <c r="J173" s="4"/>
    </row>
    <row r="174" spans="2:10" s="34" customFormat="1" ht="18.75" customHeight="1">
      <c r="B174" s="57"/>
      <c r="C174" s="101"/>
      <c r="D174" s="102"/>
      <c r="E174" s="103"/>
      <c r="F174" s="2"/>
      <c r="G174" s="3"/>
      <c r="H174" s="3"/>
      <c r="I174" s="2"/>
      <c r="J174" s="4"/>
    </row>
    <row r="175" spans="2:10" s="34" customFormat="1" ht="18.75" customHeight="1">
      <c r="B175" s="57"/>
      <c r="C175" s="101"/>
      <c r="D175" s="102"/>
      <c r="E175" s="103"/>
      <c r="F175" s="2"/>
      <c r="G175" s="3"/>
      <c r="H175" s="3"/>
      <c r="I175" s="2"/>
      <c r="J175" s="4"/>
    </row>
    <row r="176" spans="2:10" s="34" customFormat="1" ht="18.75" customHeight="1">
      <c r="B176" s="57"/>
      <c r="C176" s="101"/>
      <c r="D176" s="102"/>
      <c r="E176" s="103"/>
      <c r="F176" s="2"/>
      <c r="G176" s="3"/>
      <c r="H176" s="3"/>
      <c r="I176" s="2"/>
      <c r="J176" s="4"/>
    </row>
    <row r="177" spans="2:10" s="34" customFormat="1" ht="18.75" customHeight="1">
      <c r="B177" s="57"/>
      <c r="C177" s="101"/>
      <c r="D177" s="102"/>
      <c r="E177" s="103"/>
      <c r="F177" s="2"/>
      <c r="G177" s="3"/>
      <c r="H177" s="3"/>
      <c r="I177" s="2"/>
      <c r="J177" s="4"/>
    </row>
    <row r="178" spans="2:10" s="34" customFormat="1" ht="18.75" customHeight="1" thickBot="1">
      <c r="B178" s="57"/>
      <c r="C178" s="101"/>
      <c r="D178" s="102"/>
      <c r="E178" s="103"/>
      <c r="F178" s="2"/>
      <c r="G178" s="3"/>
      <c r="H178" s="3"/>
      <c r="I178" s="23"/>
      <c r="J178" s="4"/>
    </row>
    <row r="179" spans="2:10" s="35" customFormat="1" ht="18.75" customHeight="1" thickBot="1">
      <c r="B179" s="24"/>
      <c r="C179" s="104"/>
      <c r="D179" s="105"/>
      <c r="E179" s="106"/>
      <c r="F179" s="25"/>
      <c r="G179" s="26"/>
      <c r="H179" s="26"/>
      <c r="I179" s="25"/>
      <c r="J179" s="27"/>
    </row>
    <row r="180" spans="2:10" ht="50.1" customHeight="1" thickBot="1">
      <c r="B180" s="98" t="s">
        <v>13</v>
      </c>
      <c r="C180" s="99"/>
      <c r="D180" s="99"/>
      <c r="E180" s="99"/>
      <c r="F180" s="99"/>
      <c r="G180" s="99"/>
      <c r="H180" s="99"/>
      <c r="I180" s="99"/>
      <c r="J180" s="100"/>
    </row>
    <row r="181" spans="2:10" s="36" customFormat="1" ht="50.1" customHeight="1">
      <c r="B181" s="97"/>
      <c r="C181" s="97"/>
      <c r="D181" s="97"/>
      <c r="E181" s="97"/>
      <c r="F181" s="97"/>
      <c r="G181" s="97"/>
      <c r="H181" s="97"/>
      <c r="I181" s="97"/>
      <c r="J181" s="97"/>
    </row>
    <row r="182" spans="2:10" ht="30" customHeight="1">
      <c r="B182" s="96"/>
      <c r="C182" s="96"/>
      <c r="D182" s="96"/>
      <c r="E182" s="96"/>
      <c r="F182" s="96"/>
      <c r="G182" s="96"/>
      <c r="H182" s="96"/>
      <c r="I182" s="96"/>
      <c r="J182" s="96"/>
    </row>
    <row r="183" spans="2:10" ht="33" customHeight="1">
      <c r="B183" s="37"/>
      <c r="C183" s="38"/>
      <c r="D183" s="38"/>
      <c r="E183" s="39"/>
      <c r="F183" s="39"/>
      <c r="G183" s="39"/>
      <c r="H183" s="40"/>
      <c r="I183" s="40"/>
      <c r="J183" s="40"/>
    </row>
    <row r="184" spans="2:10" ht="33" customHeight="1">
      <c r="B184" s="37"/>
      <c r="C184" s="41"/>
      <c r="D184" s="41"/>
      <c r="E184" s="41"/>
      <c r="F184" s="41"/>
      <c r="G184" s="42"/>
      <c r="H184" s="43"/>
      <c r="I184" s="43"/>
      <c r="J184" s="43"/>
    </row>
    <row r="185" spans="2:10" ht="33" customHeight="1">
      <c r="B185" s="37"/>
      <c r="C185" s="41"/>
      <c r="D185" s="41"/>
      <c r="E185" s="41"/>
      <c r="F185" s="41"/>
      <c r="G185" s="44"/>
      <c r="H185" s="43"/>
      <c r="I185" s="43"/>
      <c r="J185" s="43"/>
    </row>
    <row r="186" spans="2:10" ht="33" customHeight="1">
      <c r="B186" s="37"/>
      <c r="C186" s="41"/>
      <c r="D186" s="41"/>
      <c r="E186" s="41"/>
      <c r="F186" s="41"/>
      <c r="G186" s="42"/>
      <c r="H186" s="43"/>
      <c r="I186" s="43"/>
      <c r="J186" s="43"/>
    </row>
    <row r="187" spans="2:10" ht="33" customHeight="1">
      <c r="B187" s="37"/>
      <c r="C187" s="41"/>
      <c r="D187" s="41"/>
      <c r="E187" s="41"/>
      <c r="F187" s="41"/>
      <c r="G187" s="42"/>
      <c r="H187" s="95"/>
      <c r="I187" s="95"/>
      <c r="J187" s="45"/>
    </row>
    <row r="188" spans="2:10" ht="33" customHeight="1">
      <c r="B188" s="37"/>
      <c r="C188" s="41"/>
      <c r="D188" s="41"/>
      <c r="E188" s="41"/>
      <c r="F188" s="41"/>
      <c r="G188" s="42"/>
      <c r="H188" s="95"/>
      <c r="I188" s="95"/>
      <c r="J188" s="45"/>
    </row>
    <row r="189" spans="2:10" ht="33" customHeight="1">
      <c r="B189" s="46"/>
      <c r="C189" s="47"/>
      <c r="D189" s="47"/>
      <c r="E189" s="47"/>
      <c r="F189" s="47"/>
      <c r="G189" s="42"/>
      <c r="H189" s="48"/>
      <c r="I189" s="94"/>
      <c r="J189" s="94"/>
    </row>
    <row r="190" spans="2:10" ht="33" customHeight="1">
      <c r="B190" s="46"/>
      <c r="C190" s="47"/>
      <c r="D190" s="47"/>
      <c r="E190" s="47"/>
      <c r="F190" s="47"/>
      <c r="G190" s="49"/>
      <c r="H190" s="50"/>
      <c r="I190" s="94"/>
      <c r="J190" s="94"/>
    </row>
  </sheetData>
  <mergeCells count="180">
    <mergeCell ref="C175:E175"/>
    <mergeCell ref="C176:E176"/>
    <mergeCell ref="C177:E177"/>
    <mergeCell ref="C178:E178"/>
    <mergeCell ref="C170:E170"/>
    <mergeCell ref="C171:E171"/>
    <mergeCell ref="C172:E172"/>
    <mergeCell ref="C173:E173"/>
    <mergeCell ref="C174:E174"/>
    <mergeCell ref="C165:E165"/>
    <mergeCell ref="C166:E166"/>
    <mergeCell ref="C167:E167"/>
    <mergeCell ref="C168:E168"/>
    <mergeCell ref="C169:E169"/>
    <mergeCell ref="C160:E160"/>
    <mergeCell ref="C161:E161"/>
    <mergeCell ref="C162:E162"/>
    <mergeCell ref="C163:E163"/>
    <mergeCell ref="C164:E164"/>
    <mergeCell ref="C155:E155"/>
    <mergeCell ref="C156:E156"/>
    <mergeCell ref="C157:E157"/>
    <mergeCell ref="C158:E158"/>
    <mergeCell ref="C159:E159"/>
    <mergeCell ref="C150:E150"/>
    <mergeCell ref="C151:E151"/>
    <mergeCell ref="C152:E152"/>
    <mergeCell ref="C153:E153"/>
    <mergeCell ref="C154:E154"/>
    <mergeCell ref="C145:E145"/>
    <mergeCell ref="C146:E146"/>
    <mergeCell ref="C147:E147"/>
    <mergeCell ref="C148:E148"/>
    <mergeCell ref="C149:E149"/>
    <mergeCell ref="C140:E140"/>
    <mergeCell ref="C141:E141"/>
    <mergeCell ref="C142:E142"/>
    <mergeCell ref="C143:E143"/>
    <mergeCell ref="C144:E144"/>
    <mergeCell ref="C135:E135"/>
    <mergeCell ref="C136:E136"/>
    <mergeCell ref="C137:E137"/>
    <mergeCell ref="C138:E138"/>
    <mergeCell ref="C139:E139"/>
    <mergeCell ref="C130:E130"/>
    <mergeCell ref="C131:E131"/>
    <mergeCell ref="C132:E132"/>
    <mergeCell ref="C133:E133"/>
    <mergeCell ref="C134:E134"/>
    <mergeCell ref="C125:E125"/>
    <mergeCell ref="C126:E126"/>
    <mergeCell ref="C127:E127"/>
    <mergeCell ref="C128:E128"/>
    <mergeCell ref="C129:E129"/>
    <mergeCell ref="C120:E120"/>
    <mergeCell ref="C121:E121"/>
    <mergeCell ref="C122:E122"/>
    <mergeCell ref="C123:E123"/>
    <mergeCell ref="C124:E124"/>
    <mergeCell ref="C115:E115"/>
    <mergeCell ref="C116:E116"/>
    <mergeCell ref="C117:E117"/>
    <mergeCell ref="C118:E118"/>
    <mergeCell ref="C119:E119"/>
    <mergeCell ref="C110:E110"/>
    <mergeCell ref="C111:E111"/>
    <mergeCell ref="C112:E112"/>
    <mergeCell ref="C113:E113"/>
    <mergeCell ref="C114:E114"/>
    <mergeCell ref="C105:E105"/>
    <mergeCell ref="C106:E106"/>
    <mergeCell ref="C107:E107"/>
    <mergeCell ref="C108:E108"/>
    <mergeCell ref="C109:E109"/>
    <mergeCell ref="C100:E100"/>
    <mergeCell ref="C101:E101"/>
    <mergeCell ref="C102:E102"/>
    <mergeCell ref="C103:E103"/>
    <mergeCell ref="C104:E104"/>
    <mergeCell ref="C95:E95"/>
    <mergeCell ref="C96:E96"/>
    <mergeCell ref="C97:E97"/>
    <mergeCell ref="C98:E98"/>
    <mergeCell ref="C99:E99"/>
    <mergeCell ref="C90:E90"/>
    <mergeCell ref="C91:E91"/>
    <mergeCell ref="C92:E92"/>
    <mergeCell ref="C93:E93"/>
    <mergeCell ref="C94:E94"/>
    <mergeCell ref="C85:E85"/>
    <mergeCell ref="C86:E86"/>
    <mergeCell ref="C87:E87"/>
    <mergeCell ref="C88:E88"/>
    <mergeCell ref="C89:E89"/>
    <mergeCell ref="C80:E80"/>
    <mergeCell ref="C81:E81"/>
    <mergeCell ref="C82:E82"/>
    <mergeCell ref="C83:E83"/>
    <mergeCell ref="C84:E84"/>
    <mergeCell ref="C75:E75"/>
    <mergeCell ref="C76:E76"/>
    <mergeCell ref="C77:E77"/>
    <mergeCell ref="C78:E78"/>
    <mergeCell ref="C79:E79"/>
    <mergeCell ref="C70:E70"/>
    <mergeCell ref="C71:E71"/>
    <mergeCell ref="C72:E72"/>
    <mergeCell ref="C73:E73"/>
    <mergeCell ref="C74:E74"/>
    <mergeCell ref="C65:E65"/>
    <mergeCell ref="C66:E66"/>
    <mergeCell ref="C67:E67"/>
    <mergeCell ref="C68:E68"/>
    <mergeCell ref="C69:E69"/>
    <mergeCell ref="C60:E60"/>
    <mergeCell ref="C61:E61"/>
    <mergeCell ref="C62:E62"/>
    <mergeCell ref="C63:E63"/>
    <mergeCell ref="C64:E64"/>
    <mergeCell ref="C55:E55"/>
    <mergeCell ref="C56:E56"/>
    <mergeCell ref="C57:E57"/>
    <mergeCell ref="C58:E58"/>
    <mergeCell ref="C59:E59"/>
    <mergeCell ref="C50:E50"/>
    <mergeCell ref="C51:E51"/>
    <mergeCell ref="C52:E52"/>
    <mergeCell ref="C53:E53"/>
    <mergeCell ref="C54:E54"/>
    <mergeCell ref="C46:E46"/>
    <mergeCell ref="C47:E47"/>
    <mergeCell ref="C48:E48"/>
    <mergeCell ref="C49:E49"/>
    <mergeCell ref="C40:E40"/>
    <mergeCell ref="C41:E41"/>
    <mergeCell ref="C42:E42"/>
    <mergeCell ref="C43:E43"/>
    <mergeCell ref="C44:E44"/>
    <mergeCell ref="C37:E37"/>
    <mergeCell ref="C38:E38"/>
    <mergeCell ref="C39:E39"/>
    <mergeCell ref="C30:E30"/>
    <mergeCell ref="C31:E31"/>
    <mergeCell ref="C32:E32"/>
    <mergeCell ref="C33:E33"/>
    <mergeCell ref="C34:E34"/>
    <mergeCell ref="C45:E45"/>
    <mergeCell ref="B2:J2"/>
    <mergeCell ref="C3:I3"/>
    <mergeCell ref="B4:J4"/>
    <mergeCell ref="B5:J9"/>
    <mergeCell ref="C12:E12"/>
    <mergeCell ref="C13:E13"/>
    <mergeCell ref="C14:E14"/>
    <mergeCell ref="C15:E15"/>
    <mergeCell ref="C16:E16"/>
    <mergeCell ref="I190:J190"/>
    <mergeCell ref="I189:J189"/>
    <mergeCell ref="H188:I188"/>
    <mergeCell ref="H187:I187"/>
    <mergeCell ref="B182:J182"/>
    <mergeCell ref="B181:J181"/>
    <mergeCell ref="B180:J180"/>
    <mergeCell ref="C11:E11"/>
    <mergeCell ref="C179:E179"/>
    <mergeCell ref="C17:E17"/>
    <mergeCell ref="C18:E18"/>
    <mergeCell ref="C19:E19"/>
    <mergeCell ref="C25:E25"/>
    <mergeCell ref="C26:E26"/>
    <mergeCell ref="C27:E27"/>
    <mergeCell ref="C28:E28"/>
    <mergeCell ref="C29:E29"/>
    <mergeCell ref="C20:E20"/>
    <mergeCell ref="C21:E21"/>
    <mergeCell ref="C22:E22"/>
    <mergeCell ref="C23:E23"/>
    <mergeCell ref="C24:E24"/>
    <mergeCell ref="C35:E35"/>
    <mergeCell ref="C36:E36"/>
  </mergeCells>
  <printOptions horizontalCentered="1"/>
  <pageMargins left="0.33" right="0.27" top="0.17" bottom="0.63" header="0.28000000000000003" footer="0.33"/>
  <pageSetup paperSize="9" scale="64" orientation="portrait" horizontalDpi="4294967292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B52"/>
  <sheetViews>
    <sheetView topLeftCell="A52" workbookViewId="0">
      <selection activeCell="G63" sqref="G63"/>
    </sheetView>
  </sheetViews>
  <sheetFormatPr defaultRowHeight="15"/>
  <cols>
    <col min="7" max="7" width="37.42578125" customWidth="1"/>
    <col min="8" max="8" width="14.28515625" customWidth="1"/>
  </cols>
  <sheetData>
    <row r="1" spans="2:28" ht="15.75" thickBot="1"/>
    <row r="2" spans="2:28" ht="48.75" thickBot="1">
      <c r="B2" s="58" t="s">
        <v>63</v>
      </c>
      <c r="C2" s="59" t="s">
        <v>58</v>
      </c>
      <c r="D2" s="59" t="s">
        <v>64</v>
      </c>
      <c r="E2" s="59" t="s">
        <v>14</v>
      </c>
      <c r="F2" s="59" t="s">
        <v>15</v>
      </c>
      <c r="G2" s="60" t="s">
        <v>65</v>
      </c>
      <c r="H2" s="60" t="s">
        <v>66</v>
      </c>
      <c r="I2" s="59" t="s">
        <v>67</v>
      </c>
      <c r="J2" s="59" t="s">
        <v>68</v>
      </c>
      <c r="K2" s="59" t="s">
        <v>69</v>
      </c>
      <c r="L2" s="61" t="s">
        <v>70</v>
      </c>
      <c r="M2" s="61" t="s">
        <v>71</v>
      </c>
      <c r="N2" s="62" t="s">
        <v>72</v>
      </c>
      <c r="O2" s="61" t="s">
        <v>73</v>
      </c>
      <c r="P2" s="61" t="s">
        <v>74</v>
      </c>
      <c r="Q2" s="63" t="s">
        <v>75</v>
      </c>
      <c r="R2" s="63" t="s">
        <v>16</v>
      </c>
      <c r="S2" s="63" t="s">
        <v>17</v>
      </c>
      <c r="T2" s="63" t="s">
        <v>18</v>
      </c>
      <c r="U2" s="63" t="s">
        <v>76</v>
      </c>
      <c r="V2" s="64" t="s">
        <v>77</v>
      </c>
      <c r="W2" s="59" t="s">
        <v>19</v>
      </c>
      <c r="X2" s="59" t="s">
        <v>78</v>
      </c>
      <c r="Y2" s="59" t="s">
        <v>20</v>
      </c>
      <c r="Z2" s="59" t="s">
        <v>79</v>
      </c>
      <c r="AA2" s="59" t="s">
        <v>21</v>
      </c>
      <c r="AB2" s="59" t="s">
        <v>80</v>
      </c>
    </row>
    <row r="3" spans="2:28" ht="15.75" thickBot="1">
      <c r="B3" s="65">
        <v>64</v>
      </c>
      <c r="C3" s="66">
        <v>224</v>
      </c>
      <c r="D3" s="67">
        <v>44526</v>
      </c>
      <c r="E3" s="68" t="s">
        <v>0</v>
      </c>
      <c r="F3" s="68" t="s">
        <v>81</v>
      </c>
      <c r="G3" s="69" t="s">
        <v>82</v>
      </c>
      <c r="H3" s="69" t="s">
        <v>83</v>
      </c>
      <c r="I3" s="68" t="s">
        <v>23</v>
      </c>
      <c r="J3" s="68">
        <v>2394</v>
      </c>
      <c r="K3" s="70" t="s">
        <v>84</v>
      </c>
      <c r="L3" s="68">
        <v>0</v>
      </c>
      <c r="M3" s="68">
        <v>0</v>
      </c>
      <c r="N3" s="68">
        <v>0</v>
      </c>
      <c r="O3" s="68">
        <v>0</v>
      </c>
      <c r="P3" s="68">
        <v>0</v>
      </c>
      <c r="Q3" s="68">
        <v>7.548</v>
      </c>
      <c r="R3" s="68">
        <v>1.5112000000000001</v>
      </c>
      <c r="S3" s="68">
        <v>5.5720000000000001</v>
      </c>
      <c r="T3" s="68">
        <v>6.8266</v>
      </c>
      <c r="U3" s="68">
        <v>13.9094</v>
      </c>
      <c r="V3" s="68">
        <v>0.38919999999999999</v>
      </c>
      <c r="W3" s="68">
        <v>0</v>
      </c>
      <c r="X3" s="68">
        <v>0.39998</v>
      </c>
      <c r="Y3" s="68">
        <v>0</v>
      </c>
      <c r="Z3" s="68">
        <v>14.699</v>
      </c>
      <c r="AA3" s="68">
        <v>6139.77</v>
      </c>
      <c r="AB3" s="71" t="s">
        <v>29</v>
      </c>
    </row>
    <row r="4" spans="2:28" ht="15.75" thickBot="1">
      <c r="B4" s="72">
        <v>0</v>
      </c>
      <c r="C4" s="73">
        <v>224</v>
      </c>
      <c r="D4" s="74">
        <v>44526</v>
      </c>
      <c r="E4" s="75" t="s">
        <v>0</v>
      </c>
      <c r="F4" s="75" t="s">
        <v>81</v>
      </c>
      <c r="G4" s="76" t="s">
        <v>85</v>
      </c>
      <c r="H4" s="76" t="s">
        <v>83</v>
      </c>
      <c r="I4" s="75" t="s">
        <v>86</v>
      </c>
      <c r="J4" s="75">
        <v>1800</v>
      </c>
      <c r="K4" s="77" t="s">
        <v>87</v>
      </c>
      <c r="L4" s="75">
        <v>0</v>
      </c>
      <c r="M4" s="75">
        <v>0</v>
      </c>
      <c r="N4" s="75">
        <v>0</v>
      </c>
      <c r="O4" s="75">
        <v>0</v>
      </c>
      <c r="P4" s="75">
        <v>0</v>
      </c>
      <c r="Q4" s="75">
        <v>6.1310000000000002</v>
      </c>
      <c r="R4" s="75">
        <v>1.1972</v>
      </c>
      <c r="S4" s="75">
        <v>4.0819999999999999</v>
      </c>
      <c r="T4" s="75">
        <v>5.7938999999999998</v>
      </c>
      <c r="U4" s="75">
        <v>11.072800000000001</v>
      </c>
      <c r="V4" s="75">
        <v>0.27089999999999997</v>
      </c>
      <c r="W4" s="75">
        <v>0</v>
      </c>
      <c r="X4" s="75">
        <v>0.39998</v>
      </c>
      <c r="Y4" s="75">
        <v>0</v>
      </c>
      <c r="Z4" s="75">
        <v>11.744</v>
      </c>
      <c r="AA4" s="75">
        <v>6524.26</v>
      </c>
      <c r="AB4" s="78" t="s">
        <v>29</v>
      </c>
    </row>
    <row r="5" spans="2:28" ht="15.75" thickBot="1">
      <c r="B5" s="72">
        <v>32</v>
      </c>
      <c r="C5" s="73">
        <v>32</v>
      </c>
      <c r="D5" s="74">
        <v>44526</v>
      </c>
      <c r="E5" s="75" t="s">
        <v>0</v>
      </c>
      <c r="F5" s="75" t="s">
        <v>81</v>
      </c>
      <c r="G5" s="76" t="s">
        <v>88</v>
      </c>
      <c r="H5" s="76" t="s">
        <v>89</v>
      </c>
      <c r="I5" s="75" t="s">
        <v>23</v>
      </c>
      <c r="J5" s="75">
        <v>356</v>
      </c>
      <c r="K5" s="77" t="s">
        <v>90</v>
      </c>
      <c r="L5" s="75">
        <v>0</v>
      </c>
      <c r="M5" s="75">
        <v>0</v>
      </c>
      <c r="N5" s="75">
        <v>0</v>
      </c>
      <c r="O5" s="75">
        <v>0</v>
      </c>
      <c r="P5" s="75">
        <v>0</v>
      </c>
      <c r="Q5" s="75">
        <v>1.2629999999999999</v>
      </c>
      <c r="R5" s="75">
        <v>0.1827</v>
      </c>
      <c r="S5" s="75">
        <v>0.84899999999999998</v>
      </c>
      <c r="T5" s="75">
        <v>1.0809</v>
      </c>
      <c r="U5" s="75">
        <v>2.1124999999999998</v>
      </c>
      <c r="V5" s="75">
        <v>0.1085</v>
      </c>
      <c r="W5" s="75">
        <v>0</v>
      </c>
      <c r="X5" s="75">
        <v>0.13097</v>
      </c>
      <c r="Y5" s="75">
        <v>0</v>
      </c>
      <c r="Z5" s="75">
        <v>2.3519999999999999</v>
      </c>
      <c r="AA5" s="75">
        <v>6606.92</v>
      </c>
      <c r="AB5" s="78" t="s">
        <v>23</v>
      </c>
    </row>
    <row r="6" spans="2:28" ht="15.75" thickBot="1">
      <c r="B6" s="72">
        <v>0</v>
      </c>
      <c r="C6" s="73">
        <v>176</v>
      </c>
      <c r="D6" s="74">
        <v>44526</v>
      </c>
      <c r="E6" s="75" t="s">
        <v>0</v>
      </c>
      <c r="F6" s="75" t="s">
        <v>81</v>
      </c>
      <c r="G6" s="76" t="s">
        <v>91</v>
      </c>
      <c r="H6" s="76" t="s">
        <v>89</v>
      </c>
      <c r="I6" s="75" t="s">
        <v>23</v>
      </c>
      <c r="J6" s="75">
        <v>1408</v>
      </c>
      <c r="K6" s="77" t="s">
        <v>92</v>
      </c>
      <c r="L6" s="75">
        <v>0</v>
      </c>
      <c r="M6" s="75">
        <v>0</v>
      </c>
      <c r="N6" s="75">
        <v>0</v>
      </c>
      <c r="O6" s="75">
        <v>0</v>
      </c>
      <c r="P6" s="75">
        <v>0</v>
      </c>
      <c r="Q6" s="75">
        <v>5.4320000000000004</v>
      </c>
      <c r="R6" s="75">
        <v>1.0342</v>
      </c>
      <c r="S6" s="75">
        <v>4</v>
      </c>
      <c r="T6" s="75">
        <v>4.7408000000000001</v>
      </c>
      <c r="U6" s="75">
        <v>9.7752999999999997</v>
      </c>
      <c r="V6" s="75">
        <v>0.33789999999999998</v>
      </c>
      <c r="W6" s="75">
        <v>0</v>
      </c>
      <c r="X6" s="75">
        <v>0.19999</v>
      </c>
      <c r="Y6" s="75">
        <v>0</v>
      </c>
      <c r="Z6" s="75">
        <v>10.313000000000001</v>
      </c>
      <c r="AA6" s="75">
        <v>7324.76</v>
      </c>
      <c r="AB6" s="78" t="s">
        <v>23</v>
      </c>
    </row>
    <row r="7" spans="2:28" ht="15.75" thickBot="1">
      <c r="B7" s="72">
        <v>0</v>
      </c>
      <c r="C7" s="73">
        <v>216</v>
      </c>
      <c r="D7" s="74">
        <v>44526</v>
      </c>
      <c r="E7" s="75" t="s">
        <v>0</v>
      </c>
      <c r="F7" s="75" t="s">
        <v>81</v>
      </c>
      <c r="G7" s="76" t="s">
        <v>93</v>
      </c>
      <c r="H7" s="76" t="s">
        <v>83</v>
      </c>
      <c r="I7" s="75" t="s">
        <v>23</v>
      </c>
      <c r="J7" s="75">
        <v>2008</v>
      </c>
      <c r="K7" s="77" t="s">
        <v>94</v>
      </c>
      <c r="L7" s="75">
        <v>1.55</v>
      </c>
      <c r="M7" s="75">
        <v>0.27184199999999997</v>
      </c>
      <c r="N7" s="75">
        <v>1.0149999999999999</v>
      </c>
      <c r="O7" s="75">
        <v>1.4159459999999999</v>
      </c>
      <c r="P7" s="75">
        <v>2.702788</v>
      </c>
      <c r="Q7" s="75">
        <v>5.04</v>
      </c>
      <c r="R7" s="75">
        <v>1.0691999999999999</v>
      </c>
      <c r="S7" s="75">
        <v>2.6840000000000002</v>
      </c>
      <c r="T7" s="75">
        <v>3.5880999999999998</v>
      </c>
      <c r="U7" s="75">
        <v>7.3417000000000003</v>
      </c>
      <c r="V7" s="75">
        <v>0.3826</v>
      </c>
      <c r="W7" s="75">
        <v>0</v>
      </c>
      <c r="X7" s="75">
        <v>0.39998</v>
      </c>
      <c r="Y7" s="75">
        <v>0</v>
      </c>
      <c r="Z7" s="75">
        <v>10.827</v>
      </c>
      <c r="AA7" s="75">
        <v>5391.94</v>
      </c>
      <c r="AB7" s="78" t="s">
        <v>29</v>
      </c>
    </row>
    <row r="8" spans="2:28" ht="15.75" thickBot="1">
      <c r="B8" s="72">
        <v>0</v>
      </c>
      <c r="C8" s="73">
        <v>336</v>
      </c>
      <c r="D8" s="74">
        <v>44526</v>
      </c>
      <c r="E8" s="75" t="s">
        <v>0</v>
      </c>
      <c r="F8" s="75" t="s">
        <v>81</v>
      </c>
      <c r="G8" s="76" t="s">
        <v>95</v>
      </c>
      <c r="H8" s="76" t="s">
        <v>83</v>
      </c>
      <c r="I8" s="75" t="s">
        <v>23</v>
      </c>
      <c r="J8" s="75">
        <v>2376</v>
      </c>
      <c r="K8" s="77" t="s">
        <v>96</v>
      </c>
      <c r="L8" s="75">
        <v>1.4</v>
      </c>
      <c r="M8" s="75">
        <v>0.23885300000000001</v>
      </c>
      <c r="N8" s="75">
        <v>0.84</v>
      </c>
      <c r="O8" s="75">
        <v>1.189446</v>
      </c>
      <c r="P8" s="75">
        <v>2.2682989999999998</v>
      </c>
      <c r="Q8" s="75">
        <v>5.7869999999999999</v>
      </c>
      <c r="R8" s="75">
        <v>1.2201</v>
      </c>
      <c r="S8" s="75">
        <v>3.8940000000000001</v>
      </c>
      <c r="T8" s="75">
        <v>5.077</v>
      </c>
      <c r="U8" s="75">
        <v>10.1913</v>
      </c>
      <c r="V8" s="75">
        <v>0.5544</v>
      </c>
      <c r="W8" s="75">
        <v>0.24207999999999999</v>
      </c>
      <c r="X8" s="75">
        <v>0.39998</v>
      </c>
      <c r="Y8" s="75">
        <v>0</v>
      </c>
      <c r="Z8" s="75">
        <v>13.656000000000001</v>
      </c>
      <c r="AA8" s="75">
        <v>5747.47</v>
      </c>
      <c r="AB8" s="78" t="s">
        <v>29</v>
      </c>
    </row>
    <row r="9" spans="2:28" ht="15.75" thickBot="1">
      <c r="B9" s="72">
        <v>16</v>
      </c>
      <c r="C9" s="73">
        <v>128</v>
      </c>
      <c r="D9" s="74">
        <v>44526</v>
      </c>
      <c r="E9" s="75" t="s">
        <v>0</v>
      </c>
      <c r="F9" s="75" t="s">
        <v>81</v>
      </c>
      <c r="G9" s="76" t="s">
        <v>97</v>
      </c>
      <c r="H9" s="76" t="s">
        <v>89</v>
      </c>
      <c r="I9" s="75" t="s">
        <v>23</v>
      </c>
      <c r="J9" s="75">
        <v>2096</v>
      </c>
      <c r="K9" s="77" t="s">
        <v>98</v>
      </c>
      <c r="L9" s="75">
        <v>0.82399999999999995</v>
      </c>
      <c r="M9" s="75">
        <v>0.148395</v>
      </c>
      <c r="N9" s="75">
        <v>0.62263999999999997</v>
      </c>
      <c r="O9" s="75">
        <v>0.72624599999999995</v>
      </c>
      <c r="P9" s="75">
        <v>1.4972810000000001</v>
      </c>
      <c r="Q9" s="75">
        <v>6.7450000000000001</v>
      </c>
      <c r="R9" s="75">
        <v>1.2665</v>
      </c>
      <c r="S9" s="75">
        <v>4.3170000000000002</v>
      </c>
      <c r="T9" s="75">
        <v>5.4519000000000002</v>
      </c>
      <c r="U9" s="75">
        <v>11.035500000000001</v>
      </c>
      <c r="V9" s="75">
        <v>0.56389999999999996</v>
      </c>
      <c r="W9" s="75">
        <v>0.24207999999999999</v>
      </c>
      <c r="X9" s="75">
        <v>0.39998</v>
      </c>
      <c r="Y9" s="75">
        <v>0</v>
      </c>
      <c r="Z9" s="75">
        <v>13.739000000000001</v>
      </c>
      <c r="AA9" s="75">
        <v>6554.74</v>
      </c>
      <c r="AB9" s="78" t="s">
        <v>23</v>
      </c>
    </row>
    <row r="10" spans="2:28" ht="15.75" thickBot="1">
      <c r="B10" s="72">
        <v>16</v>
      </c>
      <c r="C10" s="73">
        <v>160</v>
      </c>
      <c r="D10" s="74">
        <v>44526</v>
      </c>
      <c r="E10" s="75" t="s">
        <v>0</v>
      </c>
      <c r="F10" s="75" t="s">
        <v>81</v>
      </c>
      <c r="G10" s="76" t="s">
        <v>99</v>
      </c>
      <c r="H10" s="76" t="s">
        <v>89</v>
      </c>
      <c r="I10" s="75" t="s">
        <v>23</v>
      </c>
      <c r="J10" s="75">
        <v>2272</v>
      </c>
      <c r="K10" s="90" t="s">
        <v>100</v>
      </c>
      <c r="L10" s="75">
        <v>0</v>
      </c>
      <c r="M10" s="75">
        <v>0</v>
      </c>
      <c r="N10" s="75">
        <v>0</v>
      </c>
      <c r="O10" s="75">
        <v>0</v>
      </c>
      <c r="P10" s="75">
        <v>0</v>
      </c>
      <c r="Q10" s="75">
        <v>7.9610000000000003</v>
      </c>
      <c r="R10" s="75">
        <v>1.5678000000000001</v>
      </c>
      <c r="S10" s="75">
        <v>6.1120000000000001</v>
      </c>
      <c r="T10" s="75">
        <v>7.1250999999999998</v>
      </c>
      <c r="U10" s="75">
        <v>14.8048</v>
      </c>
      <c r="V10" s="75">
        <v>0.49769999999999998</v>
      </c>
      <c r="W10" s="75">
        <v>0</v>
      </c>
      <c r="X10" s="75">
        <v>0.39998</v>
      </c>
      <c r="Y10" s="75">
        <v>0</v>
      </c>
      <c r="Z10" s="75">
        <v>15.702999999999999</v>
      </c>
      <c r="AA10" s="75">
        <v>6911.33</v>
      </c>
      <c r="AB10" s="78" t="s">
        <v>23</v>
      </c>
    </row>
    <row r="11" spans="2:28" ht="15.75" thickBot="1">
      <c r="B11" s="72">
        <v>16</v>
      </c>
      <c r="C11" s="73">
        <v>456</v>
      </c>
      <c r="D11" s="74">
        <v>44526</v>
      </c>
      <c r="E11" s="75" t="s">
        <v>0</v>
      </c>
      <c r="F11" s="75" t="s">
        <v>81</v>
      </c>
      <c r="G11" s="76" t="s">
        <v>101</v>
      </c>
      <c r="H11" s="76" t="s">
        <v>83</v>
      </c>
      <c r="I11" s="75" t="s">
        <v>86</v>
      </c>
      <c r="J11" s="75">
        <v>5219</v>
      </c>
      <c r="K11" s="77" t="s">
        <v>100</v>
      </c>
      <c r="L11" s="75">
        <v>0</v>
      </c>
      <c r="M11" s="75">
        <v>0</v>
      </c>
      <c r="N11" s="75">
        <v>0</v>
      </c>
      <c r="O11" s="75">
        <v>0</v>
      </c>
      <c r="P11" s="75">
        <v>0</v>
      </c>
      <c r="Q11" s="75">
        <v>17.312999999999999</v>
      </c>
      <c r="R11" s="75">
        <v>2.9081999999999999</v>
      </c>
      <c r="S11" s="75">
        <v>10.946999999999999</v>
      </c>
      <c r="T11" s="75">
        <v>13.3588</v>
      </c>
      <c r="U11" s="75">
        <v>27.2136</v>
      </c>
      <c r="V11" s="75">
        <v>1.5043</v>
      </c>
      <c r="W11" s="75">
        <v>0</v>
      </c>
      <c r="X11" s="75">
        <v>0.99995999999999996</v>
      </c>
      <c r="Y11" s="75">
        <v>0</v>
      </c>
      <c r="Z11" s="75">
        <v>29.718</v>
      </c>
      <c r="AA11" s="75">
        <v>5694.16</v>
      </c>
      <c r="AB11" s="78" t="s">
        <v>29</v>
      </c>
    </row>
    <row r="12" spans="2:28" ht="15.75" thickBot="1">
      <c r="B12" s="72">
        <v>32</v>
      </c>
      <c r="C12" s="73">
        <v>272</v>
      </c>
      <c r="D12" s="74">
        <v>44526</v>
      </c>
      <c r="E12" s="75" t="s">
        <v>0</v>
      </c>
      <c r="F12" s="75" t="s">
        <v>81</v>
      </c>
      <c r="G12" s="76" t="s">
        <v>102</v>
      </c>
      <c r="H12" s="76" t="s">
        <v>83</v>
      </c>
      <c r="I12" s="75" t="s">
        <v>86</v>
      </c>
      <c r="J12" s="75">
        <v>4064</v>
      </c>
      <c r="K12" s="90" t="s">
        <v>103</v>
      </c>
      <c r="L12" s="75">
        <v>0</v>
      </c>
      <c r="M12" s="75">
        <v>0</v>
      </c>
      <c r="N12" s="75">
        <v>0</v>
      </c>
      <c r="O12" s="75">
        <v>0</v>
      </c>
      <c r="P12" s="75">
        <v>0</v>
      </c>
      <c r="Q12" s="75">
        <v>12.837</v>
      </c>
      <c r="R12" s="75">
        <v>2.4253</v>
      </c>
      <c r="S12" s="75">
        <v>8.4949999999999992</v>
      </c>
      <c r="T12" s="75">
        <v>10.6927</v>
      </c>
      <c r="U12" s="75">
        <v>21.613399999999999</v>
      </c>
      <c r="V12" s="75">
        <v>0.80549999999999999</v>
      </c>
      <c r="W12" s="75">
        <v>0</v>
      </c>
      <c r="X12" s="75">
        <v>0.79996</v>
      </c>
      <c r="Y12" s="75">
        <v>0</v>
      </c>
      <c r="Z12" s="75">
        <v>23.219000000000001</v>
      </c>
      <c r="AA12" s="75">
        <v>5713.29</v>
      </c>
      <c r="AB12" s="78" t="s">
        <v>29</v>
      </c>
    </row>
    <row r="13" spans="2:28" ht="15.75" thickBot="1">
      <c r="B13" s="72">
        <v>0</v>
      </c>
      <c r="C13" s="73">
        <v>114</v>
      </c>
      <c r="D13" s="74">
        <v>44526</v>
      </c>
      <c r="E13" s="75" t="s">
        <v>0</v>
      </c>
      <c r="F13" s="75" t="s">
        <v>81</v>
      </c>
      <c r="G13" s="76" t="s">
        <v>104</v>
      </c>
      <c r="H13" s="76" t="s">
        <v>83</v>
      </c>
      <c r="I13" s="75" t="s">
        <v>86</v>
      </c>
      <c r="J13" s="75">
        <v>3510</v>
      </c>
      <c r="K13" s="77" t="s">
        <v>105</v>
      </c>
      <c r="L13" s="75">
        <v>0</v>
      </c>
      <c r="M13" s="75">
        <v>0</v>
      </c>
      <c r="N13" s="75">
        <v>0</v>
      </c>
      <c r="O13" s="75">
        <v>0</v>
      </c>
      <c r="P13" s="75">
        <v>0</v>
      </c>
      <c r="Q13" s="75">
        <v>8.0570000000000004</v>
      </c>
      <c r="R13" s="75">
        <v>1.2403</v>
      </c>
      <c r="S13" s="75">
        <v>5.2130000000000001</v>
      </c>
      <c r="T13" s="75">
        <v>6.5289999999999999</v>
      </c>
      <c r="U13" s="75">
        <v>12.982100000000001</v>
      </c>
      <c r="V13" s="75">
        <v>1.7058</v>
      </c>
      <c r="W13" s="75">
        <v>0</v>
      </c>
      <c r="X13" s="75">
        <v>0.59997</v>
      </c>
      <c r="Y13" s="75">
        <v>0</v>
      </c>
      <c r="Z13" s="75">
        <v>15.288</v>
      </c>
      <c r="AA13" s="75">
        <v>4355.53</v>
      </c>
      <c r="AB13" s="78" t="s">
        <v>29</v>
      </c>
    </row>
    <row r="14" spans="2:28" ht="15.75" thickBot="1">
      <c r="B14" s="72">
        <v>0</v>
      </c>
      <c r="C14" s="73">
        <v>112</v>
      </c>
      <c r="D14" s="74">
        <v>44526</v>
      </c>
      <c r="E14" s="75" t="s">
        <v>0</v>
      </c>
      <c r="F14" s="75" t="s">
        <v>81</v>
      </c>
      <c r="G14" s="76" t="s">
        <v>106</v>
      </c>
      <c r="H14" s="76" t="s">
        <v>83</v>
      </c>
      <c r="I14" s="75" t="s">
        <v>86</v>
      </c>
      <c r="J14" s="75">
        <v>2049</v>
      </c>
      <c r="K14" s="77" t="s">
        <v>107</v>
      </c>
      <c r="L14" s="75">
        <v>0</v>
      </c>
      <c r="M14" s="75">
        <v>0</v>
      </c>
      <c r="N14" s="75">
        <v>0</v>
      </c>
      <c r="O14" s="75">
        <v>0</v>
      </c>
      <c r="P14" s="75">
        <v>0</v>
      </c>
      <c r="Q14" s="75">
        <v>7.782</v>
      </c>
      <c r="R14" s="75">
        <v>1.0407</v>
      </c>
      <c r="S14" s="75">
        <v>4.399</v>
      </c>
      <c r="T14" s="75">
        <v>5.7640000000000002</v>
      </c>
      <c r="U14" s="75">
        <v>11.204000000000001</v>
      </c>
      <c r="V14" s="75">
        <v>0.80269999999999997</v>
      </c>
      <c r="W14" s="75">
        <v>0</v>
      </c>
      <c r="X14" s="75">
        <v>0.39998</v>
      </c>
      <c r="Y14" s="75">
        <v>0</v>
      </c>
      <c r="Z14" s="75">
        <v>12.407</v>
      </c>
      <c r="AA14" s="75">
        <v>6054.99</v>
      </c>
      <c r="AB14" s="78" t="s">
        <v>29</v>
      </c>
    </row>
    <row r="15" spans="2:28" ht="15.75" thickBot="1">
      <c r="B15" s="72">
        <v>48</v>
      </c>
      <c r="C15" s="73">
        <v>464</v>
      </c>
      <c r="D15" s="74">
        <v>44526</v>
      </c>
      <c r="E15" s="75" t="s">
        <v>0</v>
      </c>
      <c r="F15" s="75" t="s">
        <v>81</v>
      </c>
      <c r="G15" s="76" t="s">
        <v>108</v>
      </c>
      <c r="H15" s="76" t="s">
        <v>83</v>
      </c>
      <c r="I15" s="75" t="s">
        <v>23</v>
      </c>
      <c r="J15" s="75">
        <v>3585</v>
      </c>
      <c r="K15" s="90" t="s">
        <v>109</v>
      </c>
      <c r="L15" s="75">
        <v>0</v>
      </c>
      <c r="M15" s="75">
        <v>0</v>
      </c>
      <c r="N15" s="75">
        <v>0</v>
      </c>
      <c r="O15" s="75">
        <v>0</v>
      </c>
      <c r="P15" s="75">
        <v>0</v>
      </c>
      <c r="Q15" s="75">
        <v>12.92</v>
      </c>
      <c r="R15" s="75">
        <v>2.1212</v>
      </c>
      <c r="S15" s="75">
        <v>7.7380000000000004</v>
      </c>
      <c r="T15" s="75">
        <v>9.8107000000000006</v>
      </c>
      <c r="U15" s="75">
        <v>19.6694</v>
      </c>
      <c r="V15" s="75">
        <v>0.6159</v>
      </c>
      <c r="W15" s="75">
        <v>0</v>
      </c>
      <c r="X15" s="75">
        <v>0.13097</v>
      </c>
      <c r="Y15" s="75">
        <v>0</v>
      </c>
      <c r="Z15" s="75">
        <v>20.416</v>
      </c>
      <c r="AA15" s="75">
        <v>5694.93</v>
      </c>
      <c r="AB15" s="78" t="s">
        <v>29</v>
      </c>
    </row>
    <row r="16" spans="2:28" ht="15.75" thickBot="1">
      <c r="B16" s="72">
        <v>8</v>
      </c>
      <c r="C16" s="73">
        <v>296</v>
      </c>
      <c r="D16" s="74">
        <v>44526</v>
      </c>
      <c r="E16" s="75" t="s">
        <v>0</v>
      </c>
      <c r="F16" s="75" t="s">
        <v>81</v>
      </c>
      <c r="G16" s="76" t="s">
        <v>110</v>
      </c>
      <c r="H16" s="76" t="s">
        <v>83</v>
      </c>
      <c r="I16" s="75" t="s">
        <v>23</v>
      </c>
      <c r="J16" s="75">
        <v>2300</v>
      </c>
      <c r="K16" s="77" t="s">
        <v>111</v>
      </c>
      <c r="L16" s="75">
        <v>0</v>
      </c>
      <c r="M16" s="75">
        <v>0</v>
      </c>
      <c r="N16" s="75">
        <v>0</v>
      </c>
      <c r="O16" s="75">
        <v>0</v>
      </c>
      <c r="P16" s="75">
        <v>0</v>
      </c>
      <c r="Q16" s="75">
        <v>8.468</v>
      </c>
      <c r="R16" s="75">
        <v>1.3903000000000001</v>
      </c>
      <c r="S16" s="75">
        <v>5.5979999999999999</v>
      </c>
      <c r="T16" s="75">
        <v>7.0606</v>
      </c>
      <c r="U16" s="75">
        <v>14.048500000000001</v>
      </c>
      <c r="V16" s="75">
        <v>0.37990000000000002</v>
      </c>
      <c r="W16" s="75">
        <v>0</v>
      </c>
      <c r="X16" s="75">
        <v>0.39998</v>
      </c>
      <c r="Y16" s="75">
        <v>0</v>
      </c>
      <c r="Z16" s="75">
        <v>14.827999999999999</v>
      </c>
      <c r="AA16" s="75">
        <v>6447.15</v>
      </c>
      <c r="AB16" s="78" t="s">
        <v>29</v>
      </c>
    </row>
    <row r="17" spans="2:28" ht="15.75" thickBot="1">
      <c r="B17" s="72">
        <v>112</v>
      </c>
      <c r="C17" s="73">
        <v>240</v>
      </c>
      <c r="D17" s="74">
        <v>44526</v>
      </c>
      <c r="E17" s="75" t="s">
        <v>0</v>
      </c>
      <c r="F17" s="75" t="s">
        <v>81</v>
      </c>
      <c r="G17" s="76" t="s">
        <v>112</v>
      </c>
      <c r="H17" s="76" t="s">
        <v>83</v>
      </c>
      <c r="I17" s="75" t="s">
        <v>86</v>
      </c>
      <c r="J17" s="75">
        <v>4204</v>
      </c>
      <c r="K17" s="77" t="s">
        <v>113</v>
      </c>
      <c r="L17" s="75">
        <v>0</v>
      </c>
      <c r="M17" s="75">
        <v>0</v>
      </c>
      <c r="N17" s="75">
        <v>0</v>
      </c>
      <c r="O17" s="75">
        <v>0</v>
      </c>
      <c r="P17" s="75">
        <v>0</v>
      </c>
      <c r="Q17" s="75">
        <v>17.925000000000001</v>
      </c>
      <c r="R17" s="75">
        <v>3.2905000000000002</v>
      </c>
      <c r="S17" s="75">
        <v>12.827</v>
      </c>
      <c r="T17" s="75">
        <v>18.367699999999999</v>
      </c>
      <c r="U17" s="75">
        <v>34.485199999999999</v>
      </c>
      <c r="V17" s="75">
        <v>0.57110000000000005</v>
      </c>
      <c r="W17" s="75">
        <v>0</v>
      </c>
      <c r="X17" s="75">
        <v>0.79996</v>
      </c>
      <c r="Y17" s="75">
        <v>0</v>
      </c>
      <c r="Z17" s="75">
        <v>35.856000000000002</v>
      </c>
      <c r="AA17" s="75">
        <v>8529.09</v>
      </c>
      <c r="AB17" s="78" t="s">
        <v>29</v>
      </c>
    </row>
    <row r="18" spans="2:28" ht="15.75" thickBot="1">
      <c r="B18" s="72">
        <v>16</v>
      </c>
      <c r="C18" s="73">
        <v>624</v>
      </c>
      <c r="D18" s="74">
        <v>44526</v>
      </c>
      <c r="E18" s="75" t="s">
        <v>0</v>
      </c>
      <c r="F18" s="75" t="s">
        <v>81</v>
      </c>
      <c r="G18" s="76" t="s">
        <v>114</v>
      </c>
      <c r="H18" s="76" t="s">
        <v>83</v>
      </c>
      <c r="I18" s="75" t="s">
        <v>86</v>
      </c>
      <c r="J18" s="75">
        <v>3613</v>
      </c>
      <c r="K18" s="77" t="s">
        <v>115</v>
      </c>
      <c r="L18" s="75">
        <v>0</v>
      </c>
      <c r="M18" s="75">
        <v>0</v>
      </c>
      <c r="N18" s="75">
        <v>0</v>
      </c>
      <c r="O18" s="75">
        <v>0</v>
      </c>
      <c r="P18" s="75">
        <v>0</v>
      </c>
      <c r="Q18" s="75">
        <v>8.4250000000000007</v>
      </c>
      <c r="R18" s="75">
        <v>1.7262</v>
      </c>
      <c r="S18" s="75">
        <v>5.7750000000000004</v>
      </c>
      <c r="T18" s="75">
        <v>6.4260000000000002</v>
      </c>
      <c r="U18" s="75">
        <v>13.927</v>
      </c>
      <c r="V18" s="75">
        <v>0.85370000000000001</v>
      </c>
      <c r="W18" s="75">
        <v>0</v>
      </c>
      <c r="X18" s="75">
        <v>0.98699999999999999</v>
      </c>
      <c r="Y18" s="75">
        <v>0</v>
      </c>
      <c r="Z18" s="75">
        <v>15.768000000000001</v>
      </c>
      <c r="AA18" s="75">
        <v>4364.16</v>
      </c>
      <c r="AB18" s="78" t="s">
        <v>29</v>
      </c>
    </row>
    <row r="19" spans="2:28" ht="15.75" thickBot="1">
      <c r="B19" s="72">
        <v>56</v>
      </c>
      <c r="C19" s="73">
        <v>472</v>
      </c>
      <c r="D19" s="74">
        <v>44526</v>
      </c>
      <c r="E19" s="75" t="s">
        <v>0</v>
      </c>
      <c r="F19" s="75" t="s">
        <v>81</v>
      </c>
      <c r="G19" s="76" t="s">
        <v>116</v>
      </c>
      <c r="H19" s="76" t="s">
        <v>83</v>
      </c>
      <c r="I19" s="75" t="s">
        <v>86</v>
      </c>
      <c r="J19" s="75">
        <v>3096</v>
      </c>
      <c r="K19" s="77" t="s">
        <v>117</v>
      </c>
      <c r="L19" s="75">
        <v>0</v>
      </c>
      <c r="M19" s="75">
        <v>0</v>
      </c>
      <c r="N19" s="75">
        <v>0</v>
      </c>
      <c r="O19" s="75">
        <v>0</v>
      </c>
      <c r="P19" s="75">
        <v>0</v>
      </c>
      <c r="Q19" s="75">
        <v>10.698</v>
      </c>
      <c r="R19" s="75">
        <v>1.9248000000000001</v>
      </c>
      <c r="S19" s="75">
        <v>7.2539999999999996</v>
      </c>
      <c r="T19" s="75">
        <v>9.0920000000000005</v>
      </c>
      <c r="U19" s="75">
        <v>18.270299999999999</v>
      </c>
      <c r="V19" s="75">
        <v>0.4854</v>
      </c>
      <c r="W19" s="75">
        <v>0</v>
      </c>
      <c r="X19" s="75">
        <v>0.59997</v>
      </c>
      <c r="Y19" s="75">
        <v>0</v>
      </c>
      <c r="Z19" s="75">
        <v>19.356000000000002</v>
      </c>
      <c r="AA19" s="75">
        <v>6251.82</v>
      </c>
      <c r="AB19" s="78" t="s">
        <v>29</v>
      </c>
    </row>
    <row r="20" spans="2:28" ht="15.75" thickBot="1">
      <c r="B20" s="72">
        <v>16</v>
      </c>
      <c r="C20" s="73">
        <v>416</v>
      </c>
      <c r="D20" s="74">
        <v>44526</v>
      </c>
      <c r="E20" s="75" t="s">
        <v>0</v>
      </c>
      <c r="F20" s="75" t="s">
        <v>81</v>
      </c>
      <c r="G20" s="76" t="s">
        <v>118</v>
      </c>
      <c r="H20" s="76" t="s">
        <v>83</v>
      </c>
      <c r="I20" s="75" t="s">
        <v>86</v>
      </c>
      <c r="J20" s="75">
        <v>2856</v>
      </c>
      <c r="K20" s="77" t="s">
        <v>119</v>
      </c>
      <c r="L20" s="75">
        <v>0</v>
      </c>
      <c r="M20" s="75">
        <v>0</v>
      </c>
      <c r="N20" s="75">
        <v>0</v>
      </c>
      <c r="O20" s="75">
        <v>0</v>
      </c>
      <c r="P20" s="75">
        <v>0</v>
      </c>
      <c r="Q20" s="75">
        <v>11.394</v>
      </c>
      <c r="R20" s="75">
        <v>1.9225000000000001</v>
      </c>
      <c r="S20" s="75">
        <v>7.6829999999999998</v>
      </c>
      <c r="T20" s="75">
        <v>9.2082999999999995</v>
      </c>
      <c r="U20" s="75">
        <v>18.813400000000001</v>
      </c>
      <c r="V20" s="75">
        <v>0.43099999999999999</v>
      </c>
      <c r="W20" s="75">
        <v>0</v>
      </c>
      <c r="X20" s="75">
        <v>0.13097</v>
      </c>
      <c r="Y20" s="75">
        <v>0</v>
      </c>
      <c r="Z20" s="75">
        <v>19.375</v>
      </c>
      <c r="AA20" s="75">
        <v>6784.1</v>
      </c>
      <c r="AB20" s="78" t="s">
        <v>29</v>
      </c>
    </row>
    <row r="21" spans="2:28" ht="15.75" thickBot="1">
      <c r="B21" s="72">
        <v>16</v>
      </c>
      <c r="C21" s="73">
        <v>104</v>
      </c>
      <c r="D21" s="74">
        <v>44526</v>
      </c>
      <c r="E21" s="75" t="s">
        <v>0</v>
      </c>
      <c r="F21" s="75" t="s">
        <v>81</v>
      </c>
      <c r="G21" s="76" t="s">
        <v>120</v>
      </c>
      <c r="H21" s="76" t="s">
        <v>89</v>
      </c>
      <c r="I21" s="75" t="s">
        <v>23</v>
      </c>
      <c r="J21" s="75">
        <v>3833</v>
      </c>
      <c r="K21" s="77" t="s">
        <v>121</v>
      </c>
      <c r="L21" s="75">
        <v>0</v>
      </c>
      <c r="M21" s="75">
        <v>0</v>
      </c>
      <c r="N21" s="75">
        <v>0</v>
      </c>
      <c r="O21" s="75">
        <v>0</v>
      </c>
      <c r="P21" s="75">
        <v>0</v>
      </c>
      <c r="Q21" s="75">
        <v>13.108000000000001</v>
      </c>
      <c r="R21" s="75">
        <v>1.9205000000000001</v>
      </c>
      <c r="S21" s="75">
        <v>7.407</v>
      </c>
      <c r="T21" s="75">
        <v>10.124499999999999</v>
      </c>
      <c r="U21" s="75">
        <v>19.452000000000002</v>
      </c>
      <c r="V21" s="75">
        <v>0.85099999999999998</v>
      </c>
      <c r="W21" s="75">
        <v>0</v>
      </c>
      <c r="X21" s="75">
        <v>0.59997</v>
      </c>
      <c r="Y21" s="75">
        <v>0</v>
      </c>
      <c r="Z21" s="75">
        <v>20.902999999999999</v>
      </c>
      <c r="AA21" s="75">
        <v>5453.44</v>
      </c>
      <c r="AB21" s="78" t="s">
        <v>29</v>
      </c>
    </row>
    <row r="22" spans="2:28" ht="15.75" thickBot="1">
      <c r="B22" s="72">
        <v>104</v>
      </c>
      <c r="C22" s="73">
        <v>232</v>
      </c>
      <c r="D22" s="74">
        <v>44526</v>
      </c>
      <c r="E22" s="75" t="s">
        <v>0</v>
      </c>
      <c r="F22" s="75" t="s">
        <v>81</v>
      </c>
      <c r="G22" s="76" t="s">
        <v>122</v>
      </c>
      <c r="H22" s="76" t="s">
        <v>83</v>
      </c>
      <c r="I22" s="75" t="s">
        <v>123</v>
      </c>
      <c r="J22" s="75">
        <v>4050</v>
      </c>
      <c r="K22" s="77" t="s">
        <v>124</v>
      </c>
      <c r="L22" s="75">
        <v>0</v>
      </c>
      <c r="M22" s="75">
        <v>0</v>
      </c>
      <c r="N22" s="75">
        <v>0</v>
      </c>
      <c r="O22" s="75">
        <v>0</v>
      </c>
      <c r="P22" s="75">
        <v>0</v>
      </c>
      <c r="Q22" s="75">
        <v>16.018000000000001</v>
      </c>
      <c r="R22" s="75">
        <v>2.3704000000000001</v>
      </c>
      <c r="S22" s="75">
        <v>9.4719999999999995</v>
      </c>
      <c r="T22" s="75">
        <v>12.548999999999999</v>
      </c>
      <c r="U22" s="75">
        <v>24.390799999999999</v>
      </c>
      <c r="V22" s="75">
        <v>1.2952999999999999</v>
      </c>
      <c r="W22" s="75">
        <v>0</v>
      </c>
      <c r="X22" s="75">
        <v>0.79996</v>
      </c>
      <c r="Y22" s="75">
        <v>0</v>
      </c>
      <c r="Z22" s="75">
        <v>26.486000000000001</v>
      </c>
      <c r="AA22" s="75">
        <v>6539.79</v>
      </c>
      <c r="AB22" s="78" t="s">
        <v>29</v>
      </c>
    </row>
    <row r="23" spans="2:28" ht="15.75" thickBot="1">
      <c r="B23" s="72">
        <v>48</v>
      </c>
      <c r="C23" s="73">
        <v>224</v>
      </c>
      <c r="D23" s="74">
        <v>44526</v>
      </c>
      <c r="E23" s="75" t="s">
        <v>0</v>
      </c>
      <c r="F23" s="75" t="s">
        <v>81</v>
      </c>
      <c r="G23" s="76" t="s">
        <v>125</v>
      </c>
      <c r="H23" s="76" t="s">
        <v>89</v>
      </c>
      <c r="I23" s="75" t="s">
        <v>123</v>
      </c>
      <c r="J23" s="75">
        <v>1524</v>
      </c>
      <c r="K23" s="77" t="s">
        <v>126</v>
      </c>
      <c r="L23" s="75">
        <v>0</v>
      </c>
      <c r="M23" s="75">
        <v>0</v>
      </c>
      <c r="N23" s="75">
        <v>0</v>
      </c>
      <c r="O23" s="75">
        <v>0</v>
      </c>
      <c r="P23" s="75">
        <v>0</v>
      </c>
      <c r="Q23" s="75">
        <v>7.6639999999999997</v>
      </c>
      <c r="R23" s="75">
        <v>1.1231</v>
      </c>
      <c r="S23" s="75">
        <v>4.758</v>
      </c>
      <c r="T23" s="75">
        <v>6.0853999999999999</v>
      </c>
      <c r="U23" s="75">
        <v>11.966799999999999</v>
      </c>
      <c r="V23" s="75">
        <v>0.32179999999999997</v>
      </c>
      <c r="W23" s="75">
        <v>0</v>
      </c>
      <c r="X23" s="75">
        <v>0.39998</v>
      </c>
      <c r="Y23" s="75">
        <v>0</v>
      </c>
      <c r="Z23" s="75">
        <v>12.689</v>
      </c>
      <c r="AA23" s="75">
        <v>8325.8700000000008</v>
      </c>
      <c r="AB23" s="78" t="s">
        <v>23</v>
      </c>
    </row>
    <row r="24" spans="2:28" ht="15.75" thickBot="1">
      <c r="B24" s="72">
        <v>64</v>
      </c>
      <c r="C24" s="73">
        <v>144</v>
      </c>
      <c r="D24" s="74">
        <v>44526</v>
      </c>
      <c r="E24" s="75" t="s">
        <v>0</v>
      </c>
      <c r="F24" s="75" t="s">
        <v>81</v>
      </c>
      <c r="G24" s="76" t="s">
        <v>127</v>
      </c>
      <c r="H24" s="76" t="s">
        <v>83</v>
      </c>
      <c r="I24" s="75" t="s">
        <v>123</v>
      </c>
      <c r="J24" s="75">
        <v>1472</v>
      </c>
      <c r="K24" s="77" t="s">
        <v>128</v>
      </c>
      <c r="L24" s="75">
        <v>0</v>
      </c>
      <c r="M24" s="75">
        <v>0</v>
      </c>
      <c r="N24" s="75">
        <v>0</v>
      </c>
      <c r="O24" s="75">
        <v>0</v>
      </c>
      <c r="P24" s="75">
        <v>0</v>
      </c>
      <c r="Q24" s="75">
        <v>6.17</v>
      </c>
      <c r="R24" s="75">
        <v>0.95240000000000002</v>
      </c>
      <c r="S24" s="75">
        <v>3.9020000000000001</v>
      </c>
      <c r="T24" s="75">
        <v>5.0637999999999996</v>
      </c>
      <c r="U24" s="75">
        <v>9.9179999999999993</v>
      </c>
      <c r="V24" s="75">
        <v>0.39290000000000003</v>
      </c>
      <c r="W24" s="75">
        <v>0</v>
      </c>
      <c r="X24" s="75">
        <v>0.39998</v>
      </c>
      <c r="Y24" s="75">
        <v>0</v>
      </c>
      <c r="Z24" s="75">
        <v>10.711</v>
      </c>
      <c r="AA24" s="75">
        <v>7276.36</v>
      </c>
      <c r="AB24" s="78" t="s">
        <v>29</v>
      </c>
    </row>
    <row r="25" spans="2:28" ht="15.75" thickBot="1">
      <c r="B25" s="72">
        <v>96</v>
      </c>
      <c r="C25" s="73">
        <v>120</v>
      </c>
      <c r="D25" s="74">
        <v>44526</v>
      </c>
      <c r="E25" s="75" t="s">
        <v>0</v>
      </c>
      <c r="F25" s="75" t="s">
        <v>81</v>
      </c>
      <c r="G25" s="76" t="s">
        <v>129</v>
      </c>
      <c r="H25" s="76" t="s">
        <v>83</v>
      </c>
      <c r="I25" s="75" t="s">
        <v>123</v>
      </c>
      <c r="J25" s="75">
        <v>1906</v>
      </c>
      <c r="K25" s="77" t="s">
        <v>130</v>
      </c>
      <c r="L25" s="75">
        <v>0</v>
      </c>
      <c r="M25" s="75">
        <v>0</v>
      </c>
      <c r="N25" s="75">
        <v>0</v>
      </c>
      <c r="O25" s="75">
        <v>0</v>
      </c>
      <c r="P25" s="75">
        <v>0</v>
      </c>
      <c r="Q25" s="75">
        <v>7.23</v>
      </c>
      <c r="R25" s="75">
        <v>1.0316000000000001</v>
      </c>
      <c r="S25" s="75">
        <v>4.2649999999999997</v>
      </c>
      <c r="T25" s="75">
        <v>5.6779000000000002</v>
      </c>
      <c r="U25" s="75">
        <v>10.974299999999999</v>
      </c>
      <c r="V25" s="75">
        <v>0.46949999999999997</v>
      </c>
      <c r="W25" s="75">
        <v>0</v>
      </c>
      <c r="X25" s="75">
        <v>0.39998</v>
      </c>
      <c r="Y25" s="75">
        <v>0</v>
      </c>
      <c r="Z25" s="75">
        <v>11.843999999999999</v>
      </c>
      <c r="AA25" s="75">
        <v>6213.96</v>
      </c>
      <c r="AB25" s="78" t="s">
        <v>29</v>
      </c>
    </row>
    <row r="26" spans="2:28" ht="15.75" thickBot="1">
      <c r="B26" s="72">
        <v>48</v>
      </c>
      <c r="C26" s="73">
        <v>144</v>
      </c>
      <c r="D26" s="74">
        <v>44526</v>
      </c>
      <c r="E26" s="75" t="s">
        <v>0</v>
      </c>
      <c r="F26" s="75" t="s">
        <v>81</v>
      </c>
      <c r="G26" s="76" t="s">
        <v>131</v>
      </c>
      <c r="H26" s="76" t="s">
        <v>83</v>
      </c>
      <c r="I26" s="75" t="s">
        <v>123</v>
      </c>
      <c r="J26" s="75">
        <v>2573</v>
      </c>
      <c r="K26" s="77" t="s">
        <v>132</v>
      </c>
      <c r="L26" s="75">
        <v>0</v>
      </c>
      <c r="M26" s="75">
        <v>0</v>
      </c>
      <c r="N26" s="75">
        <v>0</v>
      </c>
      <c r="O26" s="75">
        <v>0</v>
      </c>
      <c r="P26" s="75">
        <v>0</v>
      </c>
      <c r="Q26" s="75">
        <v>9.86</v>
      </c>
      <c r="R26" s="75">
        <v>1.3533999999999999</v>
      </c>
      <c r="S26" s="75">
        <v>5.3330000000000002</v>
      </c>
      <c r="T26" s="75">
        <v>7.3135000000000003</v>
      </c>
      <c r="U26" s="75">
        <v>14</v>
      </c>
      <c r="V26" s="75">
        <v>0.90949999999999998</v>
      </c>
      <c r="W26" s="75">
        <v>0</v>
      </c>
      <c r="X26" s="75">
        <v>0.59997</v>
      </c>
      <c r="Y26" s="75">
        <v>0</v>
      </c>
      <c r="Z26" s="75">
        <v>15.509</v>
      </c>
      <c r="AA26" s="75">
        <v>6027.78</v>
      </c>
      <c r="AB26" s="78" t="s">
        <v>29</v>
      </c>
    </row>
    <row r="27" spans="2:28" ht="15.75" thickBot="1">
      <c r="B27" s="72">
        <v>24</v>
      </c>
      <c r="C27" s="73">
        <v>128</v>
      </c>
      <c r="D27" s="74">
        <v>44526</v>
      </c>
      <c r="E27" s="75" t="s">
        <v>0</v>
      </c>
      <c r="F27" s="75" t="s">
        <v>81</v>
      </c>
      <c r="G27" s="76" t="s">
        <v>133</v>
      </c>
      <c r="H27" s="76" t="s">
        <v>83</v>
      </c>
      <c r="I27" s="75" t="s">
        <v>123</v>
      </c>
      <c r="J27" s="75">
        <v>1563</v>
      </c>
      <c r="K27" s="77" t="s">
        <v>134</v>
      </c>
      <c r="L27" s="75">
        <v>0</v>
      </c>
      <c r="M27" s="75">
        <v>0</v>
      </c>
      <c r="N27" s="75">
        <v>0</v>
      </c>
      <c r="O27" s="75">
        <v>0</v>
      </c>
      <c r="P27" s="75">
        <v>0</v>
      </c>
      <c r="Q27" s="75">
        <v>7.9649999999999999</v>
      </c>
      <c r="R27" s="75">
        <v>1.1520999999999999</v>
      </c>
      <c r="S27" s="75">
        <v>4.984</v>
      </c>
      <c r="T27" s="75">
        <v>6.3982000000000001</v>
      </c>
      <c r="U27" s="75">
        <v>12.5341</v>
      </c>
      <c r="V27" s="75">
        <v>0.42749999999999999</v>
      </c>
      <c r="W27" s="75">
        <v>0</v>
      </c>
      <c r="X27" s="75">
        <v>0.39998</v>
      </c>
      <c r="Y27" s="75">
        <v>0</v>
      </c>
      <c r="Z27" s="75">
        <v>13.362</v>
      </c>
      <c r="AA27" s="75">
        <v>8548.65</v>
      </c>
      <c r="AB27" s="78" t="s">
        <v>29</v>
      </c>
    </row>
    <row r="28" spans="2:28" ht="15.75" thickBot="1">
      <c r="B28" s="72">
        <v>128</v>
      </c>
      <c r="C28" s="73">
        <v>424</v>
      </c>
      <c r="D28" s="74">
        <v>44526</v>
      </c>
      <c r="E28" s="75" t="s">
        <v>0</v>
      </c>
      <c r="F28" s="75" t="s">
        <v>81</v>
      </c>
      <c r="G28" s="76" t="s">
        <v>135</v>
      </c>
      <c r="H28" s="76" t="s">
        <v>83</v>
      </c>
      <c r="I28" s="75" t="s">
        <v>136</v>
      </c>
      <c r="J28" s="75">
        <v>5290</v>
      </c>
      <c r="K28" s="77" t="s">
        <v>136</v>
      </c>
      <c r="L28" s="75">
        <v>0</v>
      </c>
      <c r="M28" s="75">
        <v>0</v>
      </c>
      <c r="N28" s="75">
        <v>0</v>
      </c>
      <c r="O28" s="75">
        <v>0</v>
      </c>
      <c r="P28" s="75">
        <v>0</v>
      </c>
      <c r="Q28" s="75">
        <v>17.86</v>
      </c>
      <c r="R28" s="75">
        <v>3.1360999999999999</v>
      </c>
      <c r="S28" s="75">
        <v>12.289</v>
      </c>
      <c r="T28" s="75">
        <v>15.4236</v>
      </c>
      <c r="U28" s="75">
        <v>30.848299999999998</v>
      </c>
      <c r="V28" s="75">
        <v>0.88919999999999999</v>
      </c>
      <c r="W28" s="75">
        <v>0</v>
      </c>
      <c r="X28" s="75">
        <v>1.1999500000000001</v>
      </c>
      <c r="Y28" s="75">
        <v>0</v>
      </c>
      <c r="Z28" s="75">
        <v>32.936999999999998</v>
      </c>
      <c r="AA28" s="75">
        <v>6226.36</v>
      </c>
      <c r="AB28" s="78" t="s">
        <v>29</v>
      </c>
    </row>
    <row r="29" spans="2:28" ht="15.75" thickBot="1">
      <c r="B29" s="72">
        <v>32</v>
      </c>
      <c r="C29" s="73">
        <v>80</v>
      </c>
      <c r="D29" s="74">
        <v>44526</v>
      </c>
      <c r="E29" s="75" t="s">
        <v>0</v>
      </c>
      <c r="F29" s="75" t="s">
        <v>81</v>
      </c>
      <c r="G29" s="76" t="s">
        <v>137</v>
      </c>
      <c r="H29" s="76" t="s">
        <v>89</v>
      </c>
      <c r="I29" s="75" t="s">
        <v>23</v>
      </c>
      <c r="J29" s="75">
        <v>2264</v>
      </c>
      <c r="K29" s="77" t="s">
        <v>138</v>
      </c>
      <c r="L29" s="75">
        <v>0</v>
      </c>
      <c r="M29" s="75">
        <v>0</v>
      </c>
      <c r="N29" s="75">
        <v>0</v>
      </c>
      <c r="O29" s="75">
        <v>0</v>
      </c>
      <c r="P29" s="75">
        <v>0</v>
      </c>
      <c r="Q29" s="75">
        <v>10.419</v>
      </c>
      <c r="R29" s="75">
        <v>1.8776999999999999</v>
      </c>
      <c r="S29" s="75">
        <v>8.6910000000000007</v>
      </c>
      <c r="T29" s="75">
        <v>10.396100000000001</v>
      </c>
      <c r="U29" s="75">
        <v>20.964700000000001</v>
      </c>
      <c r="V29" s="75">
        <v>0.49059999999999998</v>
      </c>
      <c r="W29" s="75">
        <v>0</v>
      </c>
      <c r="X29" s="75">
        <v>0.39998</v>
      </c>
      <c r="Y29" s="75">
        <v>0</v>
      </c>
      <c r="Z29" s="75">
        <v>21.855</v>
      </c>
      <c r="AA29" s="75">
        <v>9653.42</v>
      </c>
      <c r="AB29" s="78" t="s">
        <v>23</v>
      </c>
    </row>
    <row r="30" spans="2:28" ht="15.75" thickBot="1">
      <c r="B30" s="72">
        <v>0</v>
      </c>
      <c r="C30" s="73">
        <v>80</v>
      </c>
      <c r="D30" s="74">
        <v>44526</v>
      </c>
      <c r="E30" s="75" t="s">
        <v>0</v>
      </c>
      <c r="F30" s="75" t="s">
        <v>81</v>
      </c>
      <c r="G30" s="76" t="s">
        <v>139</v>
      </c>
      <c r="H30" s="76" t="s">
        <v>83</v>
      </c>
      <c r="I30" s="75" t="s">
        <v>86</v>
      </c>
      <c r="J30" s="75">
        <v>1987</v>
      </c>
      <c r="K30" s="77" t="s">
        <v>139</v>
      </c>
      <c r="L30" s="75">
        <v>0</v>
      </c>
      <c r="M30" s="75">
        <v>0</v>
      </c>
      <c r="N30" s="75">
        <v>0</v>
      </c>
      <c r="O30" s="75">
        <v>0</v>
      </c>
      <c r="P30" s="75">
        <v>0</v>
      </c>
      <c r="Q30" s="75">
        <v>7.1269999999999998</v>
      </c>
      <c r="R30" s="75">
        <v>1.0642</v>
      </c>
      <c r="S30" s="75">
        <v>4.8559999999999999</v>
      </c>
      <c r="T30" s="75">
        <v>6.1600999999999999</v>
      </c>
      <c r="U30" s="75">
        <v>12.0806</v>
      </c>
      <c r="V30" s="75">
        <v>0.85489999999999999</v>
      </c>
      <c r="W30" s="75">
        <v>0</v>
      </c>
      <c r="X30" s="75">
        <v>0.39998</v>
      </c>
      <c r="Y30" s="75">
        <v>0</v>
      </c>
      <c r="Z30" s="75">
        <v>13.335000000000001</v>
      </c>
      <c r="AA30" s="75">
        <v>6711.37</v>
      </c>
      <c r="AB30" s="78" t="s">
        <v>29</v>
      </c>
    </row>
    <row r="31" spans="2:28" ht="15.75" thickBot="1">
      <c r="B31" s="72">
        <v>0</v>
      </c>
      <c r="C31" s="73">
        <v>360</v>
      </c>
      <c r="D31" s="74">
        <v>44526</v>
      </c>
      <c r="E31" s="75" t="s">
        <v>0</v>
      </c>
      <c r="F31" s="75" t="s">
        <v>81</v>
      </c>
      <c r="G31" s="76" t="s">
        <v>140</v>
      </c>
      <c r="H31" s="76" t="s">
        <v>89</v>
      </c>
      <c r="I31" s="75" t="s">
        <v>23</v>
      </c>
      <c r="J31" s="75">
        <v>9782</v>
      </c>
      <c r="K31" s="77" t="s">
        <v>141</v>
      </c>
      <c r="L31" s="75">
        <v>0</v>
      </c>
      <c r="M31" s="75">
        <v>0</v>
      </c>
      <c r="N31" s="75">
        <v>0</v>
      </c>
      <c r="O31" s="75">
        <v>0</v>
      </c>
      <c r="P31" s="75">
        <v>0</v>
      </c>
      <c r="Q31" s="75">
        <v>20.321999999999999</v>
      </c>
      <c r="R31" s="75">
        <v>3.6261999999999999</v>
      </c>
      <c r="S31" s="75">
        <v>15.89</v>
      </c>
      <c r="T31" s="75">
        <v>19.299900000000001</v>
      </c>
      <c r="U31" s="75">
        <v>38.8157</v>
      </c>
      <c r="V31" s="75">
        <v>4.6600999999999999</v>
      </c>
      <c r="W31" s="75">
        <v>0</v>
      </c>
      <c r="X31" s="75">
        <v>1.9999100000000001</v>
      </c>
      <c r="Y31" s="75">
        <v>0</v>
      </c>
      <c r="Z31" s="75">
        <v>45.475999999999999</v>
      </c>
      <c r="AA31" s="75">
        <v>4648.92</v>
      </c>
      <c r="AB31" s="78" t="s">
        <v>23</v>
      </c>
    </row>
    <row r="32" spans="2:28" ht="15.75" thickBot="1">
      <c r="B32" s="72">
        <v>72</v>
      </c>
      <c r="C32" s="73">
        <v>328</v>
      </c>
      <c r="D32" s="74">
        <v>44526</v>
      </c>
      <c r="E32" s="75" t="s">
        <v>0</v>
      </c>
      <c r="F32" s="75" t="s">
        <v>81</v>
      </c>
      <c r="G32" s="76" t="s">
        <v>142</v>
      </c>
      <c r="H32" s="76" t="s">
        <v>89</v>
      </c>
      <c r="I32" s="75" t="s">
        <v>23</v>
      </c>
      <c r="J32" s="75">
        <v>3405</v>
      </c>
      <c r="K32" s="77" t="s">
        <v>143</v>
      </c>
      <c r="L32" s="75">
        <v>0</v>
      </c>
      <c r="M32" s="75">
        <v>0</v>
      </c>
      <c r="N32" s="75">
        <v>0</v>
      </c>
      <c r="O32" s="75">
        <v>0</v>
      </c>
      <c r="P32" s="75">
        <v>0</v>
      </c>
      <c r="Q32" s="75">
        <v>13.997999999999999</v>
      </c>
      <c r="R32" s="75">
        <v>2.6257000000000001</v>
      </c>
      <c r="S32" s="75">
        <v>11.125999999999999</v>
      </c>
      <c r="T32" s="75">
        <v>13.586399999999999</v>
      </c>
      <c r="U32" s="75">
        <v>27.337700000000002</v>
      </c>
      <c r="V32" s="75">
        <v>0.81010000000000004</v>
      </c>
      <c r="W32" s="75">
        <v>0</v>
      </c>
      <c r="X32" s="75">
        <v>0.79996</v>
      </c>
      <c r="Y32" s="75">
        <v>0</v>
      </c>
      <c r="Z32" s="75">
        <v>28.948</v>
      </c>
      <c r="AA32" s="75">
        <v>8501.5499999999993</v>
      </c>
      <c r="AB32" s="78" t="s">
        <v>23</v>
      </c>
    </row>
    <row r="33" spans="2:28" ht="15.75" thickBot="1">
      <c r="B33" s="72">
        <v>160</v>
      </c>
      <c r="C33" s="73">
        <v>192</v>
      </c>
      <c r="D33" s="74">
        <v>44526</v>
      </c>
      <c r="E33" s="75" t="s">
        <v>0</v>
      </c>
      <c r="F33" s="75" t="s">
        <v>81</v>
      </c>
      <c r="G33" s="76" t="s">
        <v>144</v>
      </c>
      <c r="H33" s="76" t="s">
        <v>89</v>
      </c>
      <c r="I33" s="75" t="s">
        <v>23</v>
      </c>
      <c r="J33" s="75">
        <v>4940</v>
      </c>
      <c r="K33" s="77" t="s">
        <v>145</v>
      </c>
      <c r="L33" s="75">
        <v>0</v>
      </c>
      <c r="M33" s="75">
        <v>0</v>
      </c>
      <c r="N33" s="75">
        <v>0</v>
      </c>
      <c r="O33" s="75">
        <v>0</v>
      </c>
      <c r="P33" s="75">
        <v>0</v>
      </c>
      <c r="Q33" s="75">
        <v>14.021000000000001</v>
      </c>
      <c r="R33" s="75">
        <v>3.0684999999999998</v>
      </c>
      <c r="S33" s="75">
        <v>12.071</v>
      </c>
      <c r="T33" s="75">
        <v>14.5151</v>
      </c>
      <c r="U33" s="75">
        <v>29.654599999999999</v>
      </c>
      <c r="V33" s="75">
        <v>0.9617</v>
      </c>
      <c r="W33" s="75">
        <v>0</v>
      </c>
      <c r="X33" s="75">
        <v>0.99995999999999996</v>
      </c>
      <c r="Y33" s="75">
        <v>0</v>
      </c>
      <c r="Z33" s="75">
        <v>31.616</v>
      </c>
      <c r="AA33" s="75">
        <v>6400.05</v>
      </c>
      <c r="AB33" s="78" t="s">
        <v>23</v>
      </c>
    </row>
    <row r="34" spans="2:28" ht="15.75" thickBot="1">
      <c r="B34" s="72">
        <v>256</v>
      </c>
      <c r="C34" s="73">
        <v>240</v>
      </c>
      <c r="D34" s="74">
        <v>44526</v>
      </c>
      <c r="E34" s="75" t="s">
        <v>0</v>
      </c>
      <c r="F34" s="75" t="s">
        <v>81</v>
      </c>
      <c r="G34" s="76" t="s">
        <v>146</v>
      </c>
      <c r="H34" s="76" t="s">
        <v>147</v>
      </c>
      <c r="I34" s="75" t="s">
        <v>23</v>
      </c>
      <c r="J34" s="75">
        <v>3536</v>
      </c>
      <c r="K34" s="77" t="s">
        <v>148</v>
      </c>
      <c r="L34" s="75">
        <v>0</v>
      </c>
      <c r="M34" s="75">
        <v>0</v>
      </c>
      <c r="N34" s="75">
        <v>0</v>
      </c>
      <c r="O34" s="75">
        <v>0</v>
      </c>
      <c r="P34" s="75">
        <v>0</v>
      </c>
      <c r="Q34" s="75">
        <v>12.884</v>
      </c>
      <c r="R34" s="75">
        <v>2.1692999999999998</v>
      </c>
      <c r="S34" s="75">
        <v>9.7349999999999994</v>
      </c>
      <c r="T34" s="75">
        <v>11.4116</v>
      </c>
      <c r="U34" s="75">
        <v>23.316199999999998</v>
      </c>
      <c r="V34" s="75">
        <v>0.72099999999999997</v>
      </c>
      <c r="W34" s="75">
        <v>0</v>
      </c>
      <c r="X34" s="75">
        <v>0.80986000000000002</v>
      </c>
      <c r="Y34" s="75">
        <v>0.32899</v>
      </c>
      <c r="Z34" s="75">
        <v>25.175999999999998</v>
      </c>
      <c r="AA34" s="75">
        <v>7119.93</v>
      </c>
      <c r="AB34" s="78" t="s">
        <v>23</v>
      </c>
    </row>
    <row r="35" spans="2:28" ht="15.75" thickBot="1">
      <c r="B35" s="72">
        <v>96</v>
      </c>
      <c r="C35" s="73">
        <v>64</v>
      </c>
      <c r="D35" s="74">
        <v>44526</v>
      </c>
      <c r="E35" s="75" t="s">
        <v>0</v>
      </c>
      <c r="F35" s="75" t="s">
        <v>81</v>
      </c>
      <c r="G35" s="76" t="s">
        <v>149</v>
      </c>
      <c r="H35" s="76" t="s">
        <v>147</v>
      </c>
      <c r="I35" s="75" t="s">
        <v>23</v>
      </c>
      <c r="J35" s="75">
        <v>3560</v>
      </c>
      <c r="K35" s="77" t="s">
        <v>150</v>
      </c>
      <c r="L35" s="75">
        <v>2.1</v>
      </c>
      <c r="M35" s="75">
        <v>0.51691299999999996</v>
      </c>
      <c r="N35" s="75">
        <v>1.33</v>
      </c>
      <c r="O35" s="75">
        <v>1.827</v>
      </c>
      <c r="P35" s="75">
        <v>3.6739130000000002</v>
      </c>
      <c r="Q35" s="75">
        <v>13.89</v>
      </c>
      <c r="R35" s="75">
        <v>2.6023999999999998</v>
      </c>
      <c r="S35" s="75">
        <v>8.8309999999999995</v>
      </c>
      <c r="T35" s="75">
        <v>10.4514</v>
      </c>
      <c r="U35" s="75">
        <v>21.884399999999999</v>
      </c>
      <c r="V35" s="75">
        <v>0.69610000000000005</v>
      </c>
      <c r="W35" s="75">
        <v>0.25</v>
      </c>
      <c r="X35" s="75">
        <v>0.80986000000000002</v>
      </c>
      <c r="Y35" s="75">
        <v>0.28610999999999998</v>
      </c>
      <c r="Z35" s="75">
        <v>27.6</v>
      </c>
      <c r="AA35" s="75">
        <v>7752.92</v>
      </c>
      <c r="AB35" s="78" t="s">
        <v>23</v>
      </c>
    </row>
    <row r="36" spans="2:28" ht="15.75" thickBot="1">
      <c r="B36" s="72">
        <v>0</v>
      </c>
      <c r="C36" s="73">
        <v>0</v>
      </c>
      <c r="D36" s="74">
        <v>44526</v>
      </c>
      <c r="E36" s="75" t="s">
        <v>0</v>
      </c>
      <c r="F36" s="75" t="s">
        <v>81</v>
      </c>
      <c r="G36" s="76" t="s">
        <v>151</v>
      </c>
      <c r="H36" s="76" t="s">
        <v>152</v>
      </c>
      <c r="I36" s="75" t="s">
        <v>23</v>
      </c>
      <c r="J36" s="75">
        <v>1384</v>
      </c>
      <c r="K36" s="77" t="s">
        <v>153</v>
      </c>
      <c r="L36" s="75">
        <v>2.15</v>
      </c>
      <c r="M36" s="75">
        <v>0.52518500000000001</v>
      </c>
      <c r="N36" s="75">
        <v>1.337</v>
      </c>
      <c r="O36" s="75">
        <v>1.8409</v>
      </c>
      <c r="P36" s="75">
        <v>3.7030850000000002</v>
      </c>
      <c r="Q36" s="75">
        <v>0.24</v>
      </c>
      <c r="R36" s="75">
        <v>2.24E-2</v>
      </c>
      <c r="S36" s="75">
        <v>0</v>
      </c>
      <c r="T36" s="75">
        <v>6.0299999999999999E-2</v>
      </c>
      <c r="U36" s="75">
        <v>8.2699999999999996E-2</v>
      </c>
      <c r="V36" s="75">
        <v>1.4946999999999999</v>
      </c>
      <c r="W36" s="75">
        <v>0.25</v>
      </c>
      <c r="X36" s="75">
        <v>2.4595600000000002</v>
      </c>
      <c r="Y36" s="75">
        <v>0.12381</v>
      </c>
      <c r="Z36" s="75">
        <v>8.1140000000000008</v>
      </c>
      <c r="AA36" s="75">
        <v>5862.6</v>
      </c>
      <c r="AB36" s="78" t="s">
        <v>23</v>
      </c>
    </row>
    <row r="37" spans="2:28" ht="15.75" thickBot="1">
      <c r="B37" s="72">
        <v>160</v>
      </c>
      <c r="C37" s="73">
        <v>256</v>
      </c>
      <c r="D37" s="74">
        <v>44526</v>
      </c>
      <c r="E37" s="75" t="s">
        <v>0</v>
      </c>
      <c r="F37" s="75" t="s">
        <v>81</v>
      </c>
      <c r="G37" s="76" t="s">
        <v>154</v>
      </c>
      <c r="H37" s="76" t="s">
        <v>89</v>
      </c>
      <c r="I37" s="75" t="s">
        <v>23</v>
      </c>
      <c r="J37" s="75">
        <v>2536</v>
      </c>
      <c r="K37" s="77" t="s">
        <v>155</v>
      </c>
      <c r="L37" s="75">
        <v>0</v>
      </c>
      <c r="M37" s="75">
        <v>0</v>
      </c>
      <c r="N37" s="75">
        <v>0</v>
      </c>
      <c r="O37" s="75">
        <v>0</v>
      </c>
      <c r="P37" s="75">
        <v>0</v>
      </c>
      <c r="Q37" s="75">
        <v>8.1750000000000007</v>
      </c>
      <c r="R37" s="75">
        <v>1.2458</v>
      </c>
      <c r="S37" s="75">
        <v>4.242</v>
      </c>
      <c r="T37" s="75">
        <v>6.1605999999999996</v>
      </c>
      <c r="U37" s="75">
        <v>11.6479</v>
      </c>
      <c r="V37" s="75">
        <v>0.47410000000000002</v>
      </c>
      <c r="W37" s="75">
        <v>0</v>
      </c>
      <c r="X37" s="75">
        <v>0.59997</v>
      </c>
      <c r="Y37" s="75">
        <v>0</v>
      </c>
      <c r="Z37" s="75">
        <v>12.722</v>
      </c>
      <c r="AA37" s="75">
        <v>5016.5600000000004</v>
      </c>
      <c r="AB37" s="78" t="s">
        <v>23</v>
      </c>
    </row>
    <row r="38" spans="2:28" ht="15.75" thickBot="1">
      <c r="B38" s="72">
        <v>56</v>
      </c>
      <c r="C38" s="73">
        <v>176</v>
      </c>
      <c r="D38" s="74">
        <v>44526</v>
      </c>
      <c r="E38" s="75" t="s">
        <v>0</v>
      </c>
      <c r="F38" s="75" t="s">
        <v>81</v>
      </c>
      <c r="G38" s="76" t="s">
        <v>156</v>
      </c>
      <c r="H38" s="76" t="s">
        <v>89</v>
      </c>
      <c r="I38" s="75" t="s">
        <v>23</v>
      </c>
      <c r="J38" s="75">
        <v>3202</v>
      </c>
      <c r="K38" s="77" t="s">
        <v>157</v>
      </c>
      <c r="L38" s="75">
        <v>0</v>
      </c>
      <c r="M38" s="75">
        <v>0</v>
      </c>
      <c r="N38" s="75">
        <v>0</v>
      </c>
      <c r="O38" s="75">
        <v>0</v>
      </c>
      <c r="P38" s="75">
        <v>0</v>
      </c>
      <c r="Q38" s="75">
        <v>9.7850000000000001</v>
      </c>
      <c r="R38" s="75">
        <v>1.7044999999999999</v>
      </c>
      <c r="S38" s="75">
        <v>5.3390000000000004</v>
      </c>
      <c r="T38" s="75">
        <v>7.3411999999999997</v>
      </c>
      <c r="U38" s="75">
        <v>14.3847</v>
      </c>
      <c r="V38" s="75">
        <v>0.72189999999999999</v>
      </c>
      <c r="W38" s="75">
        <v>0</v>
      </c>
      <c r="X38" s="75">
        <v>0.79996</v>
      </c>
      <c r="Y38" s="75">
        <v>0</v>
      </c>
      <c r="Z38" s="75">
        <v>15.907</v>
      </c>
      <c r="AA38" s="75">
        <v>4967.71</v>
      </c>
      <c r="AB38" s="78" t="s">
        <v>23</v>
      </c>
    </row>
    <row r="39" spans="2:28" ht="15.75" thickBot="1">
      <c r="B39" s="72">
        <v>40</v>
      </c>
      <c r="C39" s="73">
        <v>152</v>
      </c>
      <c r="D39" s="74">
        <v>44526</v>
      </c>
      <c r="E39" s="75" t="s">
        <v>0</v>
      </c>
      <c r="F39" s="75" t="s">
        <v>81</v>
      </c>
      <c r="G39" s="76" t="s">
        <v>158</v>
      </c>
      <c r="H39" s="76" t="s">
        <v>89</v>
      </c>
      <c r="I39" s="75" t="s">
        <v>23</v>
      </c>
      <c r="J39" s="75">
        <v>3670</v>
      </c>
      <c r="K39" s="77" t="s">
        <v>159</v>
      </c>
      <c r="L39" s="75">
        <v>1.4770000000000001</v>
      </c>
      <c r="M39" s="75">
        <v>0.37976300000000002</v>
      </c>
      <c r="N39" s="75">
        <v>1.1842200000000001</v>
      </c>
      <c r="O39" s="75">
        <v>1.31915</v>
      </c>
      <c r="P39" s="75">
        <v>2.8831329999999999</v>
      </c>
      <c r="Q39" s="75">
        <v>12.786</v>
      </c>
      <c r="R39" s="75">
        <v>2.0781000000000001</v>
      </c>
      <c r="S39" s="75">
        <v>6.8570000000000002</v>
      </c>
      <c r="T39" s="75">
        <v>9.5554000000000006</v>
      </c>
      <c r="U39" s="75">
        <v>18.4908</v>
      </c>
      <c r="V39" s="75">
        <v>0.84699999999999998</v>
      </c>
      <c r="W39" s="75">
        <v>0.24207999999999999</v>
      </c>
      <c r="X39" s="75">
        <v>0.79996</v>
      </c>
      <c r="Y39" s="75">
        <v>0</v>
      </c>
      <c r="Z39" s="75">
        <v>23.263000000000002</v>
      </c>
      <c r="AA39" s="75">
        <v>6338.7</v>
      </c>
      <c r="AB39" s="78" t="s">
        <v>23</v>
      </c>
    </row>
    <row r="40" spans="2:28" ht="15.75" thickBot="1">
      <c r="B40" s="72">
        <v>56</v>
      </c>
      <c r="C40" s="73">
        <v>128</v>
      </c>
      <c r="D40" s="74">
        <v>44526</v>
      </c>
      <c r="E40" s="75" t="s">
        <v>0</v>
      </c>
      <c r="F40" s="75" t="s">
        <v>81</v>
      </c>
      <c r="G40" s="76" t="s">
        <v>160</v>
      </c>
      <c r="H40" s="76" t="s">
        <v>89</v>
      </c>
      <c r="I40" s="75" t="s">
        <v>23</v>
      </c>
      <c r="J40" s="75">
        <v>2784</v>
      </c>
      <c r="K40" s="77" t="s">
        <v>161</v>
      </c>
      <c r="L40" s="75">
        <v>1.698</v>
      </c>
      <c r="M40" s="75">
        <v>0.43748900000000002</v>
      </c>
      <c r="N40" s="75">
        <v>1.3742799999999999</v>
      </c>
      <c r="O40" s="75">
        <v>1.5290999999999999</v>
      </c>
      <c r="P40" s="75">
        <v>3.3408690000000001</v>
      </c>
      <c r="Q40" s="75">
        <v>8.5939999999999994</v>
      </c>
      <c r="R40" s="75">
        <v>1.5676000000000001</v>
      </c>
      <c r="S40" s="75">
        <v>4.95</v>
      </c>
      <c r="T40" s="75">
        <v>6.6764999999999999</v>
      </c>
      <c r="U40" s="75">
        <v>13.1944</v>
      </c>
      <c r="V40" s="75">
        <v>0.59189999999999998</v>
      </c>
      <c r="W40" s="75">
        <v>0</v>
      </c>
      <c r="X40" s="75">
        <v>0.59997</v>
      </c>
      <c r="Y40" s="75">
        <v>0</v>
      </c>
      <c r="Z40" s="75">
        <v>17.727</v>
      </c>
      <c r="AA40" s="75">
        <v>6367.52</v>
      </c>
      <c r="AB40" s="78" t="s">
        <v>23</v>
      </c>
    </row>
    <row r="41" spans="2:28" ht="15.75" thickBot="1">
      <c r="B41" s="72">
        <v>72</v>
      </c>
      <c r="C41" s="73">
        <v>272</v>
      </c>
      <c r="D41" s="74">
        <v>44526</v>
      </c>
      <c r="E41" s="75" t="s">
        <v>0</v>
      </c>
      <c r="F41" s="75" t="s">
        <v>81</v>
      </c>
      <c r="G41" s="76" t="s">
        <v>162</v>
      </c>
      <c r="H41" s="76" t="s">
        <v>89</v>
      </c>
      <c r="I41" s="75" t="s">
        <v>23</v>
      </c>
      <c r="J41" s="75">
        <v>3429</v>
      </c>
      <c r="K41" s="77" t="s">
        <v>163</v>
      </c>
      <c r="L41" s="75">
        <v>0</v>
      </c>
      <c r="M41" s="75">
        <v>0</v>
      </c>
      <c r="N41" s="75">
        <v>0</v>
      </c>
      <c r="O41" s="75">
        <v>0</v>
      </c>
      <c r="P41" s="75">
        <v>0</v>
      </c>
      <c r="Q41" s="75">
        <v>13.04</v>
      </c>
      <c r="R41" s="75">
        <v>2.0792999999999999</v>
      </c>
      <c r="S41" s="75">
        <v>7.577</v>
      </c>
      <c r="T41" s="75">
        <v>10.1648</v>
      </c>
      <c r="U41" s="75">
        <v>19.820799999999998</v>
      </c>
      <c r="V41" s="75">
        <v>0.78820000000000001</v>
      </c>
      <c r="W41" s="75">
        <v>0</v>
      </c>
      <c r="X41" s="75">
        <v>0.79996</v>
      </c>
      <c r="Y41" s="75">
        <v>0</v>
      </c>
      <c r="Z41" s="75">
        <v>21.408999999999999</v>
      </c>
      <c r="AA41" s="75">
        <v>6243.5</v>
      </c>
      <c r="AB41" s="78" t="s">
        <v>23</v>
      </c>
    </row>
    <row r="42" spans="2:28" ht="15.75" thickBot="1">
      <c r="B42" s="72">
        <v>0</v>
      </c>
      <c r="C42" s="73">
        <v>120</v>
      </c>
      <c r="D42" s="74">
        <v>44526</v>
      </c>
      <c r="E42" s="75" t="s">
        <v>0</v>
      </c>
      <c r="F42" s="75" t="s">
        <v>81</v>
      </c>
      <c r="G42" s="76" t="s">
        <v>164</v>
      </c>
      <c r="H42" s="76" t="s">
        <v>89</v>
      </c>
      <c r="I42" s="75" t="s">
        <v>23</v>
      </c>
      <c r="J42" s="75">
        <v>2584</v>
      </c>
      <c r="K42" s="77" t="s">
        <v>165</v>
      </c>
      <c r="L42" s="75">
        <v>0</v>
      </c>
      <c r="M42" s="75">
        <v>0</v>
      </c>
      <c r="N42" s="75">
        <v>0</v>
      </c>
      <c r="O42" s="75">
        <v>0</v>
      </c>
      <c r="P42" s="75">
        <v>0</v>
      </c>
      <c r="Q42" s="75">
        <v>8.7490000000000006</v>
      </c>
      <c r="R42" s="75">
        <v>1.2573000000000001</v>
      </c>
      <c r="S42" s="75">
        <v>5.0549999999999997</v>
      </c>
      <c r="T42" s="75">
        <v>6.8792</v>
      </c>
      <c r="U42" s="75">
        <v>13.191599999999999</v>
      </c>
      <c r="V42" s="75">
        <v>0.54300000000000004</v>
      </c>
      <c r="W42" s="75">
        <v>0</v>
      </c>
      <c r="X42" s="75">
        <v>0.59997</v>
      </c>
      <c r="Y42" s="75">
        <v>0</v>
      </c>
      <c r="Z42" s="75">
        <v>14.335000000000001</v>
      </c>
      <c r="AA42" s="75">
        <v>5547.43</v>
      </c>
      <c r="AB42" s="78" t="s">
        <v>23</v>
      </c>
    </row>
    <row r="43" spans="2:28" ht="15.75" thickBot="1">
      <c r="B43" s="72">
        <v>8</v>
      </c>
      <c r="C43" s="73">
        <v>240</v>
      </c>
      <c r="D43" s="74">
        <v>44526</v>
      </c>
      <c r="E43" s="75" t="s">
        <v>0</v>
      </c>
      <c r="F43" s="75" t="s">
        <v>81</v>
      </c>
      <c r="G43" s="76" t="s">
        <v>166</v>
      </c>
      <c r="H43" s="76" t="s">
        <v>89</v>
      </c>
      <c r="I43" s="75" t="s">
        <v>23</v>
      </c>
      <c r="J43" s="75">
        <v>2600</v>
      </c>
      <c r="K43" s="77" t="s">
        <v>167</v>
      </c>
      <c r="L43" s="75">
        <v>0.98</v>
      </c>
      <c r="M43" s="75">
        <v>0.17500199999999999</v>
      </c>
      <c r="N43" s="75">
        <v>0.75680000000000003</v>
      </c>
      <c r="O43" s="75">
        <v>0.87444599999999995</v>
      </c>
      <c r="P43" s="75">
        <v>1.8062480000000001</v>
      </c>
      <c r="Q43" s="75">
        <v>8.3420000000000005</v>
      </c>
      <c r="R43" s="75">
        <v>1.2679</v>
      </c>
      <c r="S43" s="75">
        <v>4.0460000000000003</v>
      </c>
      <c r="T43" s="75">
        <v>5.7739000000000003</v>
      </c>
      <c r="U43" s="75">
        <v>11.0878</v>
      </c>
      <c r="V43" s="75">
        <v>0.48</v>
      </c>
      <c r="W43" s="75">
        <v>0.24207999999999999</v>
      </c>
      <c r="X43" s="75">
        <v>0.59997</v>
      </c>
      <c r="Y43" s="75">
        <v>0</v>
      </c>
      <c r="Z43" s="75">
        <v>14.215999999999999</v>
      </c>
      <c r="AA43" s="75">
        <v>5467.7</v>
      </c>
      <c r="AB43" s="78" t="s">
        <v>23</v>
      </c>
    </row>
    <row r="44" spans="2:28" ht="15.75" thickBot="1">
      <c r="B44" s="72">
        <v>48</v>
      </c>
      <c r="C44" s="73">
        <v>176</v>
      </c>
      <c r="D44" s="74">
        <v>44526</v>
      </c>
      <c r="E44" s="75" t="s">
        <v>0</v>
      </c>
      <c r="F44" s="75" t="s">
        <v>81</v>
      </c>
      <c r="G44" s="76" t="s">
        <v>168</v>
      </c>
      <c r="H44" s="76" t="s">
        <v>89</v>
      </c>
      <c r="I44" s="75" t="s">
        <v>23</v>
      </c>
      <c r="J44" s="75">
        <v>2760</v>
      </c>
      <c r="K44" s="77" t="s">
        <v>169</v>
      </c>
      <c r="L44" s="75">
        <v>0.15</v>
      </c>
      <c r="M44" s="75">
        <v>3.3623E-2</v>
      </c>
      <c r="N44" s="75">
        <v>4.2999999999999997E-2</v>
      </c>
      <c r="O44" s="75">
        <v>8.5945999999999995E-2</v>
      </c>
      <c r="P44" s="75">
        <v>0.16256899999999999</v>
      </c>
      <c r="Q44" s="75">
        <v>8.4309999999999992</v>
      </c>
      <c r="R44" s="75">
        <v>1.2824</v>
      </c>
      <c r="S44" s="75">
        <v>4.7869999999999999</v>
      </c>
      <c r="T44" s="75">
        <v>6.5721999999999996</v>
      </c>
      <c r="U44" s="75">
        <v>12.6411</v>
      </c>
      <c r="V44" s="75">
        <v>0.59</v>
      </c>
      <c r="W44" s="75">
        <v>0.24207999999999999</v>
      </c>
      <c r="X44" s="75">
        <v>0.79996</v>
      </c>
      <c r="Y44" s="75">
        <v>0</v>
      </c>
      <c r="Z44" s="75">
        <v>14.436</v>
      </c>
      <c r="AA44" s="75">
        <v>5230.3500000000004</v>
      </c>
      <c r="AB44" s="78" t="s">
        <v>23</v>
      </c>
    </row>
    <row r="45" spans="2:28" ht="15.75" thickBot="1">
      <c r="B45" s="72">
        <v>40</v>
      </c>
      <c r="C45" s="73">
        <v>428</v>
      </c>
      <c r="D45" s="74">
        <v>44526</v>
      </c>
      <c r="E45" s="75" t="s">
        <v>0</v>
      </c>
      <c r="F45" s="75" t="s">
        <v>81</v>
      </c>
      <c r="G45" s="76" t="s">
        <v>170</v>
      </c>
      <c r="H45" s="76" t="s">
        <v>89</v>
      </c>
      <c r="I45" s="75" t="s">
        <v>23</v>
      </c>
      <c r="J45" s="75">
        <v>5304</v>
      </c>
      <c r="K45" s="77" t="s">
        <v>171</v>
      </c>
      <c r="L45" s="75">
        <v>0.82699999999999996</v>
      </c>
      <c r="M45" s="75">
        <v>0.148895</v>
      </c>
      <c r="N45" s="75">
        <v>0.62522</v>
      </c>
      <c r="O45" s="75">
        <v>0.72909599999999997</v>
      </c>
      <c r="P45" s="75">
        <v>1.5032110000000001</v>
      </c>
      <c r="Q45" s="75">
        <v>15.106</v>
      </c>
      <c r="R45" s="75">
        <v>2.7421000000000002</v>
      </c>
      <c r="S45" s="75">
        <v>8.1820000000000004</v>
      </c>
      <c r="T45" s="75">
        <v>11.177300000000001</v>
      </c>
      <c r="U45" s="75">
        <v>22.101199999999999</v>
      </c>
      <c r="V45" s="75">
        <v>1.3360000000000001</v>
      </c>
      <c r="W45" s="75">
        <v>0.24207999999999999</v>
      </c>
      <c r="X45" s="75">
        <v>1.1999500000000001</v>
      </c>
      <c r="Y45" s="75">
        <v>0</v>
      </c>
      <c r="Z45" s="75">
        <v>26.382000000000001</v>
      </c>
      <c r="AA45" s="75">
        <v>4974.07</v>
      </c>
      <c r="AB45" s="78" t="s">
        <v>23</v>
      </c>
    </row>
    <row r="46" spans="2:28" ht="15.75" thickBot="1">
      <c r="B46" s="72">
        <v>40</v>
      </c>
      <c r="C46" s="73">
        <v>432</v>
      </c>
      <c r="D46" s="74">
        <v>44526</v>
      </c>
      <c r="E46" s="75" t="s">
        <v>0</v>
      </c>
      <c r="F46" s="75" t="s">
        <v>81</v>
      </c>
      <c r="G46" s="76" t="s">
        <v>172</v>
      </c>
      <c r="H46" s="76" t="s">
        <v>89</v>
      </c>
      <c r="I46" s="75" t="s">
        <v>23</v>
      </c>
      <c r="J46" s="75">
        <v>4088</v>
      </c>
      <c r="K46" s="77" t="s">
        <v>173</v>
      </c>
      <c r="L46" s="75">
        <v>0</v>
      </c>
      <c r="M46" s="75">
        <v>0</v>
      </c>
      <c r="N46" s="75">
        <v>0</v>
      </c>
      <c r="O46" s="75">
        <v>0</v>
      </c>
      <c r="P46" s="75">
        <v>0</v>
      </c>
      <c r="Q46" s="75">
        <v>13.064</v>
      </c>
      <c r="R46" s="75">
        <v>2.1576</v>
      </c>
      <c r="S46" s="75">
        <v>7.556</v>
      </c>
      <c r="T46" s="75">
        <v>10.058299999999999</v>
      </c>
      <c r="U46" s="75">
        <v>19.7715</v>
      </c>
      <c r="V46" s="75">
        <v>0.85489999999999999</v>
      </c>
      <c r="W46" s="75">
        <v>0</v>
      </c>
      <c r="X46" s="75">
        <v>0.79996</v>
      </c>
      <c r="Y46" s="75">
        <v>0</v>
      </c>
      <c r="Z46" s="75">
        <v>21.425999999999998</v>
      </c>
      <c r="AA46" s="75">
        <v>5241.3</v>
      </c>
      <c r="AB46" s="78" t="s">
        <v>23</v>
      </c>
    </row>
    <row r="47" spans="2:28" ht="15.75" thickBot="1">
      <c r="B47" s="72">
        <v>112</v>
      </c>
      <c r="C47" s="73">
        <v>224</v>
      </c>
      <c r="D47" s="74">
        <v>44526</v>
      </c>
      <c r="E47" s="75" t="s">
        <v>0</v>
      </c>
      <c r="F47" s="75" t="s">
        <v>81</v>
      </c>
      <c r="G47" s="76" t="s">
        <v>174</v>
      </c>
      <c r="H47" s="76" t="s">
        <v>89</v>
      </c>
      <c r="I47" s="75" t="s">
        <v>23</v>
      </c>
      <c r="J47" s="75">
        <v>3816</v>
      </c>
      <c r="K47" s="77" t="s">
        <v>175</v>
      </c>
      <c r="L47" s="75">
        <v>0.77500000000000002</v>
      </c>
      <c r="M47" s="75">
        <v>0.21131800000000001</v>
      </c>
      <c r="N47" s="75">
        <v>0.58050000000000002</v>
      </c>
      <c r="O47" s="75">
        <v>0.67969599999999997</v>
      </c>
      <c r="P47" s="75">
        <v>1.471514</v>
      </c>
      <c r="Q47" s="75">
        <v>13.007999999999999</v>
      </c>
      <c r="R47" s="75">
        <v>2.2189999999999999</v>
      </c>
      <c r="S47" s="75">
        <v>7.444</v>
      </c>
      <c r="T47" s="75">
        <v>10.034700000000001</v>
      </c>
      <c r="U47" s="75">
        <v>19.697600000000001</v>
      </c>
      <c r="V47" s="75">
        <v>0.88029999999999997</v>
      </c>
      <c r="W47" s="75">
        <v>0.24207999999999999</v>
      </c>
      <c r="X47" s="75">
        <v>0.79996</v>
      </c>
      <c r="Y47" s="75">
        <v>0</v>
      </c>
      <c r="Z47" s="75">
        <v>23.091000000000001</v>
      </c>
      <c r="AA47" s="75">
        <v>6051.22</v>
      </c>
      <c r="AB47" s="78" t="s">
        <v>23</v>
      </c>
    </row>
    <row r="48" spans="2:28" ht="15.75" thickBot="1">
      <c r="B48" s="79">
        <v>32</v>
      </c>
      <c r="C48" s="80">
        <v>128</v>
      </c>
      <c r="D48" s="81">
        <v>44526</v>
      </c>
      <c r="E48" s="82" t="s">
        <v>0</v>
      </c>
      <c r="F48" s="82" t="s">
        <v>81</v>
      </c>
      <c r="G48" s="83" t="s">
        <v>176</v>
      </c>
      <c r="H48" s="83" t="s">
        <v>83</v>
      </c>
      <c r="I48" s="82" t="s">
        <v>86</v>
      </c>
      <c r="J48" s="82">
        <v>5973</v>
      </c>
      <c r="K48" s="84" t="s">
        <v>177</v>
      </c>
      <c r="L48" s="82"/>
      <c r="M48" s="82"/>
      <c r="N48" s="82"/>
      <c r="O48" s="82"/>
      <c r="P48" s="82"/>
      <c r="Q48" s="82">
        <v>12.345000000000001</v>
      </c>
      <c r="R48" s="82">
        <v>3.0863</v>
      </c>
      <c r="S48" s="82">
        <v>10.617000000000001</v>
      </c>
      <c r="T48" s="82">
        <v>11.7278</v>
      </c>
      <c r="U48" s="82">
        <v>25.430700000000002</v>
      </c>
      <c r="V48" s="82">
        <v>4.0616000000000003</v>
      </c>
      <c r="W48" s="82"/>
      <c r="X48" s="82">
        <v>0.2</v>
      </c>
      <c r="Y48" s="82"/>
      <c r="Z48" s="82">
        <v>29.692</v>
      </c>
      <c r="AA48" s="82">
        <v>4971.09</v>
      </c>
      <c r="AB48" s="85" t="s">
        <v>29</v>
      </c>
    </row>
    <row r="49" spans="2:28" ht="15.75" thickBot="1">
      <c r="B49" s="79">
        <v>16</v>
      </c>
      <c r="C49" s="80">
        <v>96</v>
      </c>
      <c r="D49" s="81">
        <v>44526</v>
      </c>
      <c r="E49" s="82" t="s">
        <v>0</v>
      </c>
      <c r="F49" s="82" t="s">
        <v>81</v>
      </c>
      <c r="G49" s="83" t="s">
        <v>178</v>
      </c>
      <c r="H49" s="83" t="s">
        <v>83</v>
      </c>
      <c r="I49" s="82" t="s">
        <v>86</v>
      </c>
      <c r="J49" s="82">
        <v>1850</v>
      </c>
      <c r="K49" s="84" t="s">
        <v>179</v>
      </c>
      <c r="L49" s="82"/>
      <c r="M49" s="82"/>
      <c r="N49" s="82"/>
      <c r="O49" s="82"/>
      <c r="P49" s="82"/>
      <c r="Q49" s="82">
        <v>6</v>
      </c>
      <c r="R49" s="82">
        <v>1.5</v>
      </c>
      <c r="S49" s="82">
        <v>5.16</v>
      </c>
      <c r="T49" s="82">
        <v>5.7</v>
      </c>
      <c r="U49" s="82">
        <v>12.36</v>
      </c>
      <c r="V49" s="82">
        <v>1.258</v>
      </c>
      <c r="W49" s="82"/>
      <c r="X49" s="82">
        <v>0.2</v>
      </c>
      <c r="Y49" s="82"/>
      <c r="Z49" s="82">
        <v>13.818</v>
      </c>
      <c r="AA49" s="82">
        <v>7469.19</v>
      </c>
      <c r="AB49" s="85" t="s">
        <v>29</v>
      </c>
    </row>
    <row r="50" spans="2:28" ht="15.75" thickBot="1">
      <c r="B50" s="79">
        <v>32</v>
      </c>
      <c r="C50" s="80">
        <v>224</v>
      </c>
      <c r="D50" s="81">
        <v>44526</v>
      </c>
      <c r="E50" s="82" t="s">
        <v>0</v>
      </c>
      <c r="F50" s="82" t="s">
        <v>81</v>
      </c>
      <c r="G50" s="83" t="s">
        <v>178</v>
      </c>
      <c r="H50" s="83" t="s">
        <v>83</v>
      </c>
      <c r="I50" s="82" t="s">
        <v>86</v>
      </c>
      <c r="J50" s="82">
        <v>5266</v>
      </c>
      <c r="K50" s="84" t="s">
        <v>180</v>
      </c>
      <c r="L50" s="82"/>
      <c r="M50" s="82"/>
      <c r="N50" s="82"/>
      <c r="O50" s="82"/>
      <c r="P50" s="82"/>
      <c r="Q50" s="82">
        <v>14.242000000000001</v>
      </c>
      <c r="R50" s="82">
        <v>3.5605000000000002</v>
      </c>
      <c r="S50" s="82">
        <v>12.247999999999999</v>
      </c>
      <c r="T50" s="82">
        <v>13.5299</v>
      </c>
      <c r="U50" s="82">
        <v>29.3385</v>
      </c>
      <c r="V50" s="82">
        <v>3.5809000000000002</v>
      </c>
      <c r="W50" s="82"/>
      <c r="X50" s="82">
        <v>0.2</v>
      </c>
      <c r="Y50" s="82"/>
      <c r="Z50" s="82">
        <v>33.119</v>
      </c>
      <c r="AA50" s="82">
        <v>6289.29</v>
      </c>
      <c r="AB50" s="85" t="s">
        <v>29</v>
      </c>
    </row>
    <row r="51" spans="2:28" ht="15.75" thickBot="1">
      <c r="B51" s="86">
        <v>2288</v>
      </c>
      <c r="C51" s="87">
        <v>10878</v>
      </c>
      <c r="D51" s="88"/>
      <c r="E51" s="88"/>
      <c r="F51" s="88"/>
      <c r="G51" s="88"/>
      <c r="H51" s="88"/>
      <c r="I51" s="88"/>
      <c r="J51" s="87">
        <v>152137</v>
      </c>
      <c r="K51" s="88"/>
      <c r="L51" s="87">
        <v>13.93</v>
      </c>
      <c r="M51" s="87">
        <v>3.087278</v>
      </c>
      <c r="N51" s="87">
        <v>9.7086600000000001</v>
      </c>
      <c r="O51" s="87">
        <v>12.21697</v>
      </c>
      <c r="P51" s="87">
        <v>25.012910000000002</v>
      </c>
      <c r="Q51" s="87">
        <v>492.16899999999998</v>
      </c>
      <c r="R51" s="87">
        <v>86.882909999999995</v>
      </c>
      <c r="S51" s="87">
        <v>325.1046</v>
      </c>
      <c r="T51" s="87">
        <v>411.86270000000002</v>
      </c>
      <c r="U51" s="87">
        <v>823.85</v>
      </c>
      <c r="V51" s="87">
        <v>44.514319999999998</v>
      </c>
      <c r="W51" s="87">
        <v>2.1945999999999999</v>
      </c>
      <c r="X51" s="87">
        <v>31.058070000000001</v>
      </c>
      <c r="Y51" s="87">
        <v>0.7389</v>
      </c>
      <c r="Z51" s="87">
        <v>927.36890000000005</v>
      </c>
      <c r="AA51" s="87">
        <v>6095.6170000000002</v>
      </c>
      <c r="AB51" s="78"/>
    </row>
    <row r="52" spans="2:28">
      <c r="B52" s="8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Summary</vt:lpstr>
      <vt:lpstr>Cover Sheet</vt:lpstr>
      <vt:lpstr>Sheet1</vt:lpstr>
      <vt:lpstr>'Cover Sheet'!Print_Area</vt:lpstr>
    </vt:vector>
  </TitlesOfParts>
  <Company>Telesonic Networks Ltd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 Format</dc:title>
  <dc:creator>Narahari.A.K</dc:creator>
  <cp:lastModifiedBy>Subramanyam T</cp:lastModifiedBy>
  <cp:lastPrinted>2016-04-20T14:43:32Z</cp:lastPrinted>
  <dcterms:created xsi:type="dcterms:W3CDTF">2011-01-11T06:54:26Z</dcterms:created>
  <dcterms:modified xsi:type="dcterms:W3CDTF">2022-04-06T12:59:36Z</dcterms:modified>
</cp:coreProperties>
</file>